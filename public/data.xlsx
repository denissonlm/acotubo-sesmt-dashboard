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denisson/Library/CloudStorage/OneDrive-GrupoAçotubo/0 SESMT/Organizar/SESMT_v1/SESMT/Ocorrência Indesejada/Gestão 2026/01 Fluxo, indicadores e templates/"/>
    </mc:Choice>
  </mc:AlternateContent>
  <xr:revisionPtr revIDLastSave="0" documentId="13_ncr:1_{809B3541-6311-D149-B8D6-3ECE7A9DDA26}" xr6:coauthVersionLast="47" xr6:coauthVersionMax="47" xr10:uidLastSave="{00000000-0000-0000-0000-000000000000}"/>
  <bookViews>
    <workbookView xWindow="0" yWindow="660" windowWidth="16420" windowHeight="18460" xr2:uid="{00000000-000D-0000-FFFF-FFFF00000000}"/>
  </bookViews>
  <sheets>
    <sheet name="BD" sheetId="2" r:id="rId1"/>
    <sheet name="Planos de Ação" sheetId="7" r:id="rId2"/>
    <sheet name="FG" sheetId="8" r:id="rId3"/>
  </sheets>
  <definedNames>
    <definedName name="_xlnm.Print_Area" localSheetId="1">'Planos de Ação'!$A$1:$K$81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7" i="2" l="1"/>
  <c r="G287" i="2"/>
  <c r="S287" i="2"/>
  <c r="E286" i="2"/>
  <c r="G286" i="2"/>
  <c r="S286" i="2"/>
  <c r="E285" i="2"/>
  <c r="G285" i="2"/>
  <c r="S285" i="2"/>
  <c r="E284" i="2"/>
  <c r="G284" i="2"/>
  <c r="S284" i="2"/>
  <c r="E283" i="2"/>
  <c r="G283" i="2"/>
  <c r="S283" i="2"/>
  <c r="E282" i="2"/>
  <c r="G282" i="2"/>
  <c r="S282" i="2"/>
  <c r="S280" i="2"/>
  <c r="G280" i="2"/>
  <c r="E280" i="2"/>
  <c r="E278" i="2"/>
  <c r="G278" i="2"/>
  <c r="S278" i="2"/>
  <c r="E281" i="2"/>
  <c r="G281" i="2"/>
  <c r="S281" i="2"/>
  <c r="E279" i="2"/>
  <c r="G279" i="2"/>
  <c r="S279" i="2"/>
  <c r="E140" i="2"/>
  <c r="E277" i="2"/>
  <c r="G277" i="2"/>
  <c r="S277" i="2"/>
  <c r="E276" i="2"/>
  <c r="G276" i="2"/>
  <c r="S276" i="2"/>
  <c r="E275" i="2"/>
  <c r="G275" i="2"/>
  <c r="S275" i="2"/>
  <c r="E274" i="2"/>
  <c r="G274" i="2"/>
  <c r="S274" i="2"/>
  <c r="E273" i="2"/>
  <c r="G273" i="2"/>
  <c r="S273" i="2"/>
  <c r="E272" i="2"/>
  <c r="G272" i="2"/>
  <c r="S272" i="2"/>
  <c r="J2" i="8"/>
  <c r="K2" i="8" s="1"/>
  <c r="J3" i="8"/>
  <c r="K3" i="8" s="1"/>
  <c r="J4" i="8"/>
  <c r="K4" i="8" s="1"/>
  <c r="J5" i="8"/>
  <c r="K5" i="8" s="1"/>
  <c r="J6" i="8"/>
  <c r="K6" i="8" s="1"/>
  <c r="J7" i="8"/>
  <c r="K7" i="8" s="1"/>
  <c r="J8" i="8"/>
  <c r="K8" i="8" s="1"/>
  <c r="J9" i="8"/>
  <c r="K9" i="8" s="1"/>
  <c r="J10" i="8"/>
  <c r="K10" i="8" s="1"/>
  <c r="J11" i="8"/>
  <c r="K11" i="8" s="1"/>
  <c r="J12" i="8"/>
  <c r="K12" i="8" s="1"/>
  <c r="J13" i="8"/>
  <c r="K13" i="8" s="1"/>
  <c r="J14" i="8"/>
  <c r="K14" i="8" s="1"/>
  <c r="J15" i="8"/>
  <c r="K15" i="8" s="1"/>
  <c r="J16" i="8"/>
  <c r="K16" i="8" s="1"/>
  <c r="J17" i="8"/>
  <c r="K17" i="8" s="1"/>
  <c r="J18" i="8"/>
  <c r="K18" i="8" s="1"/>
  <c r="J19" i="8"/>
  <c r="K19" i="8" s="1"/>
  <c r="J20" i="8"/>
  <c r="K20" i="8" s="1"/>
  <c r="J21" i="8"/>
  <c r="K21" i="8" s="1"/>
  <c r="J22" i="8"/>
  <c r="K22" i="8" s="1"/>
  <c r="J23" i="8"/>
  <c r="K23" i="8" s="1"/>
  <c r="J24" i="8"/>
  <c r="K24" i="8" s="1"/>
  <c r="J25" i="8"/>
  <c r="K25" i="8" s="1"/>
  <c r="J26" i="8"/>
  <c r="K26" i="8" s="1"/>
  <c r="J27" i="8"/>
  <c r="K27" i="8" s="1"/>
  <c r="J28" i="8"/>
  <c r="K28" i="8" s="1"/>
  <c r="J29" i="8"/>
  <c r="K29" i="8" s="1"/>
  <c r="J30" i="8"/>
  <c r="K30" i="8" s="1"/>
  <c r="J31" i="8"/>
  <c r="K31" i="8" s="1"/>
  <c r="J32" i="8"/>
  <c r="K32" i="8" s="1"/>
  <c r="J33" i="8"/>
  <c r="K33" i="8" s="1"/>
  <c r="J34" i="8"/>
  <c r="K34" i="8" s="1"/>
  <c r="J35" i="8"/>
  <c r="K35" i="8" s="1"/>
  <c r="J36" i="8"/>
  <c r="K36" i="8" s="1"/>
  <c r="J37" i="8"/>
  <c r="K37" i="8" s="1"/>
  <c r="J38" i="8"/>
  <c r="K38" i="8" s="1"/>
  <c r="J39" i="8"/>
  <c r="K39" i="8" s="1"/>
  <c r="J40" i="8"/>
  <c r="K40" i="8" s="1"/>
  <c r="J41" i="8"/>
  <c r="K41" i="8" s="1"/>
  <c r="J42" i="8"/>
  <c r="K42" i="8" s="1"/>
  <c r="J43" i="8"/>
  <c r="K43" i="8" s="1"/>
  <c r="J44" i="8"/>
  <c r="K44" i="8" s="1"/>
  <c r="J45" i="8"/>
  <c r="K45" i="8" s="1"/>
  <c r="J46" i="8"/>
  <c r="K46" i="8" s="1"/>
  <c r="J47" i="8"/>
  <c r="K47" i="8" s="1"/>
  <c r="J48" i="8"/>
  <c r="K48" i="8" s="1"/>
  <c r="J49" i="8"/>
  <c r="K49" i="8" s="1"/>
  <c r="J50" i="8"/>
  <c r="K50" i="8" s="1"/>
  <c r="J51" i="8"/>
  <c r="K51" i="8" s="1"/>
  <c r="J52" i="8"/>
  <c r="K52" i="8" s="1"/>
  <c r="J53" i="8"/>
  <c r="K53" i="8" s="1"/>
  <c r="J54" i="8"/>
  <c r="K54" i="8" s="1"/>
  <c r="J55" i="8"/>
  <c r="K55" i="8" s="1"/>
  <c r="J56" i="8"/>
  <c r="K56" i="8" s="1"/>
  <c r="J57" i="8"/>
  <c r="K57" i="8" s="1"/>
  <c r="J58" i="8"/>
  <c r="K58" i="8" s="1"/>
  <c r="J59" i="8"/>
  <c r="K59" i="8" s="1"/>
  <c r="J60" i="8"/>
  <c r="K60" i="8" s="1"/>
  <c r="J61" i="8"/>
  <c r="K61" i="8" s="1"/>
  <c r="J62" i="8"/>
  <c r="K62" i="8" s="1"/>
  <c r="J63" i="8"/>
  <c r="K63" i="8" s="1"/>
  <c r="J64" i="8"/>
  <c r="K64" i="8" s="1"/>
  <c r="J65" i="8"/>
  <c r="K65" i="8" s="1"/>
  <c r="J66" i="8"/>
  <c r="K66" i="8" s="1"/>
  <c r="J67" i="8"/>
  <c r="K67" i="8" s="1"/>
  <c r="J68" i="8"/>
  <c r="K68" i="8" s="1"/>
  <c r="J69" i="8"/>
  <c r="K69" i="8" s="1"/>
  <c r="J70" i="8"/>
  <c r="K70" i="8" s="1"/>
  <c r="J71" i="8"/>
  <c r="K71" i="8" s="1"/>
  <c r="J72" i="8"/>
  <c r="K72" i="8" s="1"/>
  <c r="J73" i="8"/>
  <c r="K73" i="8" s="1"/>
  <c r="J74" i="8"/>
  <c r="K74" i="8" s="1"/>
  <c r="J75" i="8"/>
  <c r="K75" i="8" s="1"/>
  <c r="H2" i="8"/>
  <c r="I2" i="8" s="1"/>
  <c r="H3" i="8"/>
  <c r="I3" i="8" s="1"/>
  <c r="H4" i="8"/>
  <c r="I4" i="8" s="1"/>
  <c r="H5" i="8"/>
  <c r="I5" i="8" s="1"/>
  <c r="H6" i="8"/>
  <c r="I6" i="8" s="1"/>
  <c r="H7" i="8"/>
  <c r="I7" i="8" s="1"/>
  <c r="H8" i="8"/>
  <c r="I8" i="8" s="1"/>
  <c r="H9" i="8"/>
  <c r="I9" i="8" s="1"/>
  <c r="H10" i="8"/>
  <c r="I10" i="8" s="1"/>
  <c r="H11" i="8"/>
  <c r="I11" i="8" s="1"/>
  <c r="H12" i="8"/>
  <c r="I12" i="8" s="1"/>
  <c r="H13" i="8"/>
  <c r="I13" i="8" s="1"/>
  <c r="H14" i="8"/>
  <c r="I14" i="8" s="1"/>
  <c r="H15" i="8"/>
  <c r="I15" i="8" s="1"/>
  <c r="H16" i="8"/>
  <c r="I16" i="8" s="1"/>
  <c r="H17" i="8"/>
  <c r="I17" i="8" s="1"/>
  <c r="H18" i="8"/>
  <c r="I18" i="8" s="1"/>
  <c r="H19" i="8"/>
  <c r="I19" i="8" s="1"/>
  <c r="H20" i="8"/>
  <c r="I20" i="8" s="1"/>
  <c r="H21" i="8"/>
  <c r="I21" i="8" s="1"/>
  <c r="H22" i="8"/>
  <c r="I22" i="8" s="1"/>
  <c r="H23" i="8"/>
  <c r="I23" i="8" s="1"/>
  <c r="H24" i="8"/>
  <c r="I24" i="8" s="1"/>
  <c r="H25" i="8"/>
  <c r="I25" i="8" s="1"/>
  <c r="H26" i="8"/>
  <c r="I26" i="8" s="1"/>
  <c r="H27" i="8"/>
  <c r="I27" i="8" s="1"/>
  <c r="H28" i="8"/>
  <c r="I28" i="8" s="1"/>
  <c r="H29" i="8"/>
  <c r="I29" i="8" s="1"/>
  <c r="H30" i="8"/>
  <c r="I30" i="8" s="1"/>
  <c r="H31" i="8"/>
  <c r="I31" i="8" s="1"/>
  <c r="H32" i="8"/>
  <c r="I32" i="8" s="1"/>
  <c r="H33" i="8"/>
  <c r="I33" i="8" s="1"/>
  <c r="H34" i="8"/>
  <c r="I34" i="8" s="1"/>
  <c r="H35" i="8"/>
  <c r="I35" i="8" s="1"/>
  <c r="H36" i="8"/>
  <c r="I36" i="8" s="1"/>
  <c r="H37" i="8"/>
  <c r="I37" i="8" s="1"/>
  <c r="H38" i="8"/>
  <c r="I38" i="8" s="1"/>
  <c r="H39" i="8"/>
  <c r="I39" i="8" s="1"/>
  <c r="H40" i="8"/>
  <c r="I40" i="8" s="1"/>
  <c r="H41" i="8"/>
  <c r="I41" i="8" s="1"/>
  <c r="H42" i="8"/>
  <c r="I42" i="8" s="1"/>
  <c r="H43" i="8"/>
  <c r="I43" i="8" s="1"/>
  <c r="H44" i="8"/>
  <c r="I44" i="8" s="1"/>
  <c r="H45" i="8"/>
  <c r="I45" i="8" s="1"/>
  <c r="H46" i="8"/>
  <c r="I46" i="8" s="1"/>
  <c r="H47" i="8"/>
  <c r="I47" i="8" s="1"/>
  <c r="H48" i="8"/>
  <c r="I48" i="8" s="1"/>
  <c r="H49" i="8"/>
  <c r="I49" i="8" s="1"/>
  <c r="H50" i="8"/>
  <c r="I50" i="8" s="1"/>
  <c r="H51" i="8"/>
  <c r="I51" i="8" s="1"/>
  <c r="H52" i="8"/>
  <c r="I52" i="8" s="1"/>
  <c r="H53" i="8"/>
  <c r="I53" i="8" s="1"/>
  <c r="H54" i="8"/>
  <c r="I54" i="8" s="1"/>
  <c r="H55" i="8"/>
  <c r="I55" i="8" s="1"/>
  <c r="H56" i="8"/>
  <c r="I56" i="8" s="1"/>
  <c r="H57" i="8"/>
  <c r="I57" i="8" s="1"/>
  <c r="H58" i="8"/>
  <c r="I58" i="8" s="1"/>
  <c r="H59" i="8"/>
  <c r="I59" i="8" s="1"/>
  <c r="H60" i="8"/>
  <c r="I60" i="8" s="1"/>
  <c r="H61" i="8"/>
  <c r="I61" i="8" s="1"/>
  <c r="H62" i="8"/>
  <c r="I62" i="8" s="1"/>
  <c r="H63" i="8"/>
  <c r="I63" i="8" s="1"/>
  <c r="H64" i="8"/>
  <c r="I64" i="8" s="1"/>
  <c r="H65" i="8"/>
  <c r="I65" i="8" s="1"/>
  <c r="H66" i="8"/>
  <c r="I66" i="8" s="1"/>
  <c r="H67" i="8"/>
  <c r="I67" i="8" s="1"/>
  <c r="H68" i="8"/>
  <c r="I68" i="8" s="1"/>
  <c r="H69" i="8"/>
  <c r="I69" i="8" s="1"/>
  <c r="H70" i="8"/>
  <c r="I70" i="8" s="1"/>
  <c r="H71" i="8"/>
  <c r="I71" i="8" s="1"/>
  <c r="H72" i="8"/>
  <c r="I72" i="8" s="1"/>
  <c r="H73" i="8"/>
  <c r="I73" i="8" s="1"/>
  <c r="H74" i="8"/>
  <c r="I74" i="8" s="1"/>
  <c r="H75" i="8"/>
  <c r="I75" i="8" s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S270" i="2"/>
  <c r="S271" i="2"/>
  <c r="S267" i="2"/>
  <c r="S268" i="2"/>
  <c r="S269" i="2"/>
  <c r="R266" i="2"/>
  <c r="S266" i="2" s="1"/>
  <c r="S265" i="2"/>
  <c r="S264" i="2"/>
  <c r="S263" i="2"/>
  <c r="S262" i="2"/>
  <c r="S260" i="2"/>
  <c r="S261" i="2"/>
  <c r="S259" i="2"/>
  <c r="S258" i="2"/>
  <c r="S248" i="2"/>
  <c r="S249" i="2"/>
  <c r="S250" i="2"/>
  <c r="S251" i="2"/>
  <c r="S252" i="2"/>
  <c r="S253" i="2"/>
  <c r="S254" i="2"/>
  <c r="S255" i="2"/>
  <c r="S257" i="2"/>
  <c r="S256" i="2"/>
  <c r="S246" i="2"/>
  <c r="S9" i="2"/>
  <c r="S2" i="2"/>
  <c r="S3" i="2"/>
  <c r="S4" i="2"/>
  <c r="S5" i="2"/>
  <c r="S6" i="2"/>
  <c r="S7" i="2"/>
  <c r="S8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7" i="2"/>
</calcChain>
</file>

<file path=xl/sharedStrings.xml><?xml version="1.0" encoding="utf-8"?>
<sst xmlns="http://schemas.openxmlformats.org/spreadsheetml/2006/main" count="4729" uniqueCount="840">
  <si>
    <t>Link</t>
  </si>
  <si>
    <t>RIM / RAM</t>
  </si>
  <si>
    <t>RE</t>
  </si>
  <si>
    <t>Data</t>
  </si>
  <si>
    <t>Colaborador / Equipamento</t>
  </si>
  <si>
    <t>CAT?</t>
  </si>
  <si>
    <t>Divisão</t>
  </si>
  <si>
    <t>Superior Direto</t>
  </si>
  <si>
    <t>Área</t>
  </si>
  <si>
    <t>Cargo / Ocorrência</t>
  </si>
  <si>
    <t>Tipo</t>
  </si>
  <si>
    <t>Dias Perdidos</t>
  </si>
  <si>
    <t>Parte Atingida</t>
  </si>
  <si>
    <t>Experiência Anos</t>
  </si>
  <si>
    <t>Experiência Meses</t>
  </si>
  <si>
    <t>Experiência</t>
  </si>
  <si>
    <t>Ato inseguro?</t>
  </si>
  <si>
    <t>Deficiência de M/E</t>
  </si>
  <si>
    <t>Desvio de Função</t>
  </si>
  <si>
    <t>Havia capacitação?</t>
  </si>
  <si>
    <t>Utilizava EPI?</t>
  </si>
  <si>
    <t>RAT-21-01</t>
  </si>
  <si>
    <t>Geraldo Alves de Souza</t>
  </si>
  <si>
    <t>NÃO</t>
  </si>
  <si>
    <t>Artex GRU</t>
  </si>
  <si>
    <t>Vanderlei Martins</t>
  </si>
  <si>
    <t>Inox Prod</t>
  </si>
  <si>
    <t>Operador de Maquina</t>
  </si>
  <si>
    <t>TÍPICO</t>
  </si>
  <si>
    <t>MÃOS</t>
  </si>
  <si>
    <t>SIM</t>
  </si>
  <si>
    <t>RAT-21-02</t>
  </si>
  <si>
    <t>Adilson Neris de Oliveira</t>
  </si>
  <si>
    <t>Soluções</t>
  </si>
  <si>
    <t>Renato Mancini</t>
  </si>
  <si>
    <t>Sol Prod</t>
  </si>
  <si>
    <t>Operador de Maquina CNC</t>
  </si>
  <si>
    <t>RAT-21-03</t>
  </si>
  <si>
    <t>Dumas de Almeida Junior</t>
  </si>
  <si>
    <t>Incotep</t>
  </si>
  <si>
    <t>Gilberto Muraro</t>
  </si>
  <si>
    <t>Incotep Prod</t>
  </si>
  <si>
    <t>Operador de Maquina I</t>
  </si>
  <si>
    <t>RAT-21-04</t>
  </si>
  <si>
    <t>Geilson Coelho Pereira</t>
  </si>
  <si>
    <t>Auxiliar de Produção</t>
  </si>
  <si>
    <t>PERNAS</t>
  </si>
  <si>
    <t>RAT-21-05</t>
  </si>
  <si>
    <t>Rafael Pereira Borges</t>
  </si>
  <si>
    <t>Açotubo GRU</t>
  </si>
  <si>
    <t>Everton Noel</t>
  </si>
  <si>
    <t>TA Prod</t>
  </si>
  <si>
    <t>RAT-21-06</t>
  </si>
  <si>
    <t>Milton Bezerra</t>
  </si>
  <si>
    <t>RAT-21-07</t>
  </si>
  <si>
    <t>Paulo Sergio da Silva Chaicher</t>
  </si>
  <si>
    <t>Operador de Ponte Rolante</t>
  </si>
  <si>
    <t>COLUNA</t>
  </si>
  <si>
    <t>RAT-21-08</t>
  </si>
  <si>
    <t>G1</t>
  </si>
  <si>
    <t>Brenno Gomes Pereira da Silva</t>
  </si>
  <si>
    <t>RAT-21-09</t>
  </si>
  <si>
    <t>Jocelio da Rosa Lins</t>
  </si>
  <si>
    <t>RAT-21-10</t>
  </si>
  <si>
    <t>Jose Fernando da Silva</t>
  </si>
  <si>
    <t>Operador de Maquina II</t>
  </si>
  <si>
    <t>RAT-21-11</t>
  </si>
  <si>
    <t>Edmilson da Silva</t>
  </si>
  <si>
    <t>RAT-21-12</t>
  </si>
  <si>
    <t>Jose Eraldo Barreiros da Silva</t>
  </si>
  <si>
    <t>TRONCO</t>
  </si>
  <si>
    <t>RAT-21-13</t>
  </si>
  <si>
    <t>Renato José da Silva</t>
  </si>
  <si>
    <t>RAT-21-14</t>
  </si>
  <si>
    <t>Alessandro Pompolho</t>
  </si>
  <si>
    <t>Maria Guimarães</t>
  </si>
  <si>
    <t>TA Log</t>
  </si>
  <si>
    <t>Motorista</t>
  </si>
  <si>
    <t>OMBRO</t>
  </si>
  <si>
    <t>RAT-21-15</t>
  </si>
  <si>
    <t>Vinicius Rodrigues da Silva</t>
  </si>
  <si>
    <t>RAT-21-16</t>
  </si>
  <si>
    <t>RAT-21-17</t>
  </si>
  <si>
    <t>Lucas Santos de Moura</t>
  </si>
  <si>
    <t>OLHOS</t>
  </si>
  <si>
    <t>RAT-21-18</t>
  </si>
  <si>
    <t>Jeferson Teles do Nascimento</t>
  </si>
  <si>
    <t>PÉ</t>
  </si>
  <si>
    <t>RAT-21-19</t>
  </si>
  <si>
    <t>Darcio Prado Freitas</t>
  </si>
  <si>
    <t>RAT-21-20</t>
  </si>
  <si>
    <t>Diego Daniel dos Santos</t>
  </si>
  <si>
    <t>RAT-21-21</t>
  </si>
  <si>
    <t>Rogerio Xavier Campelo</t>
  </si>
  <si>
    <t>Manobrista</t>
  </si>
  <si>
    <t>RAT-21-22</t>
  </si>
  <si>
    <t>Celio Roberto da Silva</t>
  </si>
  <si>
    <t>PALPEBRA</t>
  </si>
  <si>
    <t>RAT-21-23</t>
  </si>
  <si>
    <t>Martines Batista Rocha</t>
  </si>
  <si>
    <t>Carpinteiro</t>
  </si>
  <si>
    <t>TRAJETO</t>
  </si>
  <si>
    <t>RAT-21-24</t>
  </si>
  <si>
    <t>G2</t>
  </si>
  <si>
    <t>Edson Silva Brandão</t>
  </si>
  <si>
    <t>RAT-21-25</t>
  </si>
  <si>
    <t>RAT-21-26</t>
  </si>
  <si>
    <t>Gleison Alves da Silva</t>
  </si>
  <si>
    <t>Torneiro Mecanico</t>
  </si>
  <si>
    <t>RAT-21-27</t>
  </si>
  <si>
    <t>RAT-21-28</t>
  </si>
  <si>
    <t>Rodrigo Ferreira da Silva</t>
  </si>
  <si>
    <t>RAT-21-29</t>
  </si>
  <si>
    <t>Paulino Dias da Silva</t>
  </si>
  <si>
    <t>RAT-21-30</t>
  </si>
  <si>
    <t>Daniel Florencio da Silva</t>
  </si>
  <si>
    <t>RAT-21-31</t>
  </si>
  <si>
    <t>Evaldo Satiro de Carvalho</t>
  </si>
  <si>
    <t>RAT-21-32</t>
  </si>
  <si>
    <t>Kelvis Williams F. Bezerra</t>
  </si>
  <si>
    <t>RAT-21-33</t>
  </si>
  <si>
    <t>Matheus Bernardo Gouveia</t>
  </si>
  <si>
    <t>Auxiliar de Transportes</t>
  </si>
  <si>
    <t>RAT-21-34</t>
  </si>
  <si>
    <t>Francisco Genildo</t>
  </si>
  <si>
    <t>RAT-21-35</t>
  </si>
  <si>
    <t>Marcos Deleyne Matos</t>
  </si>
  <si>
    <t>RAT-21-36</t>
  </si>
  <si>
    <t>Kurt C Ferreira Santos</t>
  </si>
  <si>
    <t>RAT-21-37</t>
  </si>
  <si>
    <t>Rodrigo Caciano do Nascimento</t>
  </si>
  <si>
    <t>RAT-21-38</t>
  </si>
  <si>
    <t>Marcos de Lima e Silva</t>
  </si>
  <si>
    <t>RAT-21-39</t>
  </si>
  <si>
    <t>Alan dos Santos Rodrigues</t>
  </si>
  <si>
    <t>RAT-21-40</t>
  </si>
  <si>
    <t>Marcos Francisco de Souza</t>
  </si>
  <si>
    <t>RAT-21-41</t>
  </si>
  <si>
    <t>Rogério Josias de Oliveira</t>
  </si>
  <si>
    <t>BRAÇO</t>
  </si>
  <si>
    <t>RAT-21-42</t>
  </si>
  <si>
    <t>Ricardo Pires</t>
  </si>
  <si>
    <t>RAT-21-43</t>
  </si>
  <si>
    <t>Cicero Ribeiro da Silva</t>
  </si>
  <si>
    <t>RAT-22-01</t>
  </si>
  <si>
    <t>Leandro Soares de Aguiar</t>
  </si>
  <si>
    <t>RAT-22-02</t>
  </si>
  <si>
    <t>Luciano Tavares Castelan</t>
  </si>
  <si>
    <t>Yeda Lopes</t>
  </si>
  <si>
    <t>Cozinha</t>
  </si>
  <si>
    <t>Auxiliar de Cozinha</t>
  </si>
  <si>
    <t>RAT-22-03</t>
  </si>
  <si>
    <t>Regis Fernando Vieira</t>
  </si>
  <si>
    <t>RAT-22-04</t>
  </si>
  <si>
    <t>Weliton Roberto Caetano da Silva</t>
  </si>
  <si>
    <t>RAT-22-05</t>
  </si>
  <si>
    <t>Nycolas Fernandes de Oliveira</t>
  </si>
  <si>
    <t>RAT-22-06</t>
  </si>
  <si>
    <t>Adriano Ribeiro</t>
  </si>
  <si>
    <t>RAT-22-07</t>
  </si>
  <si>
    <t>Gilcimar Jose da Silva</t>
  </si>
  <si>
    <t>RAT-22-08</t>
  </si>
  <si>
    <t>Sergio Jesus da Silva</t>
  </si>
  <si>
    <t>Conferente</t>
  </si>
  <si>
    <t>RAT-22-09</t>
  </si>
  <si>
    <t>Robson de Souza Freire</t>
  </si>
  <si>
    <t>David Rossi</t>
  </si>
  <si>
    <t>Inox Log</t>
  </si>
  <si>
    <t>Auxiliar de Expedição</t>
  </si>
  <si>
    <t>RAT-22-10</t>
  </si>
  <si>
    <t>RAT-22-11</t>
  </si>
  <si>
    <t>Bruno Santana Ramos</t>
  </si>
  <si>
    <t>Caldeireiro</t>
  </si>
  <si>
    <t>RAT-22-12</t>
  </si>
  <si>
    <t>Glauber Francisco da Silva</t>
  </si>
  <si>
    <t>RAT-22-13</t>
  </si>
  <si>
    <t>Anderson F. S. Albuquerque</t>
  </si>
  <si>
    <t>1/2 Oficial de Ponte Rolante</t>
  </si>
  <si>
    <t>RAT-22-14</t>
  </si>
  <si>
    <t>Fernando Yoshihiro Fujii</t>
  </si>
  <si>
    <t>Bassi</t>
  </si>
  <si>
    <t>Fernando Fujii</t>
  </si>
  <si>
    <t>Obras</t>
  </si>
  <si>
    <t>Líder de Manutenção Predial</t>
  </si>
  <si>
    <t>RAT-22-15</t>
  </si>
  <si>
    <t>Diego Silva de Oliveira</t>
  </si>
  <si>
    <t>RAT-22-16</t>
  </si>
  <si>
    <t>Evandro Mauricio dos Santos</t>
  </si>
  <si>
    <t>RAT-22-17</t>
  </si>
  <si>
    <t>Lucas Alves Delfino</t>
  </si>
  <si>
    <t>RAT-22-18</t>
  </si>
  <si>
    <t>Weslley Santana dos Santos</t>
  </si>
  <si>
    <t>RAT-22-19</t>
  </si>
  <si>
    <t>Rafael Pedro Ciriaco da Silva</t>
  </si>
  <si>
    <t>RAT-22-20</t>
  </si>
  <si>
    <t>Jose Hildo Carneiro da Silva</t>
  </si>
  <si>
    <t>RAT-22-21</t>
  </si>
  <si>
    <t>Rivonaldo Bispo da Silva</t>
  </si>
  <si>
    <t>RAT-22-22</t>
  </si>
  <si>
    <t>Evaldo J. Pereira dos Santos</t>
  </si>
  <si>
    <t>Confeiteiro</t>
  </si>
  <si>
    <t>RAT-22-23</t>
  </si>
  <si>
    <t>RAT-22-24</t>
  </si>
  <si>
    <t>Rafael Lima de Santana</t>
  </si>
  <si>
    <t>RAT-22-25</t>
  </si>
  <si>
    <t>Paulo Cesar de Paiva</t>
  </si>
  <si>
    <t>CABEÇA</t>
  </si>
  <si>
    <t>RAT-22-26</t>
  </si>
  <si>
    <t>Hugo Correia da Silva</t>
  </si>
  <si>
    <t>RAT-22-27</t>
  </si>
  <si>
    <t>Claudinei de Carvalho</t>
  </si>
  <si>
    <t>Rafael Brisola</t>
  </si>
  <si>
    <t>Manut Corp</t>
  </si>
  <si>
    <t>Mecanico I</t>
  </si>
  <si>
    <t>RAT-22-28</t>
  </si>
  <si>
    <t>Eliel Carvalho da Silva</t>
  </si>
  <si>
    <t>RAT-22-29</t>
  </si>
  <si>
    <t>Luan Pires Dos Santos</t>
  </si>
  <si>
    <t>RAT-22-30</t>
  </si>
  <si>
    <t>Nelson da Silva Souza</t>
  </si>
  <si>
    <t>Eletricista I</t>
  </si>
  <si>
    <t>RAT-22-31</t>
  </si>
  <si>
    <t>Lucas Cavalcante de Lima</t>
  </si>
  <si>
    <t>RAT-22-32</t>
  </si>
  <si>
    <t>RAT-22-33</t>
  </si>
  <si>
    <t>Tiago Magalhães Gonzales</t>
  </si>
  <si>
    <t>RAT-22-34</t>
  </si>
  <si>
    <t>Jonatah De Oliveira Silva</t>
  </si>
  <si>
    <t>RAT-22-35</t>
  </si>
  <si>
    <t>Adriano Dallafina Mendes</t>
  </si>
  <si>
    <t>RAT-22-36</t>
  </si>
  <si>
    <t>Ricardo Paiva Coelho</t>
  </si>
  <si>
    <t>RAT-22-37</t>
  </si>
  <si>
    <t>RAT-22-38</t>
  </si>
  <si>
    <t>Leandro Luiz Correa</t>
  </si>
  <si>
    <t>RAT-22-39</t>
  </si>
  <si>
    <t>Guilherme Rodrigues da Silva</t>
  </si>
  <si>
    <t>RAT-22-40</t>
  </si>
  <si>
    <t>Alexandre Fernandes Martins</t>
  </si>
  <si>
    <t>RAT-22-41</t>
  </si>
  <si>
    <t>Itamar Fernandes Costa</t>
  </si>
  <si>
    <t>RAT-22-42</t>
  </si>
  <si>
    <t>Everton dos Santos Dias</t>
  </si>
  <si>
    <t>RAT-22-43</t>
  </si>
  <si>
    <t>Luciano Roseno dos Santos</t>
  </si>
  <si>
    <t>RAT-22-44</t>
  </si>
  <si>
    <t>Petronio Diogo Silva Barbosa</t>
  </si>
  <si>
    <t>RAT-22-45</t>
  </si>
  <si>
    <t>Jonathan Victor Santos Silva</t>
  </si>
  <si>
    <t>RAT-22-46</t>
  </si>
  <si>
    <t>Wendell Stwart Vitorio Viana</t>
  </si>
  <si>
    <t>RAT-22-47</t>
  </si>
  <si>
    <t>RAT-22-48</t>
  </si>
  <si>
    <t>RAT-22-49</t>
  </si>
  <si>
    <t>Valdir dos Santos Silva</t>
  </si>
  <si>
    <t>RAT-23-01</t>
  </si>
  <si>
    <t>Alvaro de Oliveira Grangeiro</t>
  </si>
  <si>
    <t>RAT-23-02</t>
  </si>
  <si>
    <t>Elano Braga Cargo</t>
  </si>
  <si>
    <t>RAT-23-03</t>
  </si>
  <si>
    <t>Jose Marcio Felicio</t>
  </si>
  <si>
    <t>Mecanico II</t>
  </si>
  <si>
    <t>RAT-23-04</t>
  </si>
  <si>
    <t>Kaue Munhoz De Lisboa</t>
  </si>
  <si>
    <t>RAT-23-05</t>
  </si>
  <si>
    <t>Diego Alves da Silva Feltrin</t>
  </si>
  <si>
    <t>RAT-23-06</t>
  </si>
  <si>
    <t>Cristiano Valerio Souza Costa</t>
  </si>
  <si>
    <t>RAT-23-07</t>
  </si>
  <si>
    <t>Operador de Empilhadeira</t>
  </si>
  <si>
    <t>RAT-23-08</t>
  </si>
  <si>
    <t>RAT-23-09</t>
  </si>
  <si>
    <t>Elton Pereira dos Santos</t>
  </si>
  <si>
    <t>RAT-23-10</t>
  </si>
  <si>
    <t>Washington de Jesus Santos</t>
  </si>
  <si>
    <t>RAT-23-11</t>
  </si>
  <si>
    <t>Leandro Alves Martins</t>
  </si>
  <si>
    <t>RAT-23-12</t>
  </si>
  <si>
    <t>Marcos Mariano de Camargo</t>
  </si>
  <si>
    <t>RAT-23-13</t>
  </si>
  <si>
    <t>Jose Carlos Dos Santos Pessoa</t>
  </si>
  <si>
    <t>JOELHO</t>
  </si>
  <si>
    <t>RAT-23-14</t>
  </si>
  <si>
    <t>Silvio Menezes de Freitas</t>
  </si>
  <si>
    <t>RAT-23-15</t>
  </si>
  <si>
    <t>José Carlos Oliveira de Moura</t>
  </si>
  <si>
    <t>RAT-23-16</t>
  </si>
  <si>
    <t>RAT-23-17</t>
  </si>
  <si>
    <t>Alisson Pinheiro Marante</t>
  </si>
  <si>
    <t>1/2 Oficial Soldador</t>
  </si>
  <si>
    <t>RAT-23-18</t>
  </si>
  <si>
    <t>Joaquim Benevides</t>
  </si>
  <si>
    <t>RAT-23-19</t>
  </si>
  <si>
    <t>William Ildelbrando da Silva</t>
  </si>
  <si>
    <t>RAT-23-20</t>
  </si>
  <si>
    <t>Agnaldo Lucas do Nascimento</t>
  </si>
  <si>
    <t>RAT-23-21</t>
  </si>
  <si>
    <t>Matheus dos Santos Marchi</t>
  </si>
  <si>
    <t>RAT-23-22</t>
  </si>
  <si>
    <t>Alexandre da Silva Pereira</t>
  </si>
  <si>
    <t>RAT-23-23</t>
  </si>
  <si>
    <t>RAT-23-24</t>
  </si>
  <si>
    <t>RAT-23-25</t>
  </si>
  <si>
    <t>RAT-23-26</t>
  </si>
  <si>
    <t>RAT-23-27</t>
  </si>
  <si>
    <t>G3</t>
  </si>
  <si>
    <t>Silvio Lourenço da Silva</t>
  </si>
  <si>
    <t>RAT-23-28</t>
  </si>
  <si>
    <t>Silvio Santos de Campos</t>
  </si>
  <si>
    <t>1/2 Oficial Operador de Máquina</t>
  </si>
  <si>
    <t>RAT-23-29</t>
  </si>
  <si>
    <t>Marcelo de Lima</t>
  </si>
  <si>
    <t>RAT-23-30</t>
  </si>
  <si>
    <t>Guaraci da Silva Estevan</t>
  </si>
  <si>
    <t>Soldador</t>
  </si>
  <si>
    <t>RAT-23-31</t>
  </si>
  <si>
    <t>Alexandre Soares de Almeida</t>
  </si>
  <si>
    <t>RAT-23-32</t>
  </si>
  <si>
    <t>RAT-23-33</t>
  </si>
  <si>
    <t>Brenda Jesus da Silva</t>
  </si>
  <si>
    <t>Assistente de Expedição</t>
  </si>
  <si>
    <t>RAT-23-34</t>
  </si>
  <si>
    <t>Bruno Lopes da Silva</t>
  </si>
  <si>
    <t>RAT-23-35</t>
  </si>
  <si>
    <t>Ronaldo Ribeiro Vital</t>
  </si>
  <si>
    <t>RAT-23-36</t>
  </si>
  <si>
    <t>Fernando de Jesus Silva</t>
  </si>
  <si>
    <t>RAT-23-37</t>
  </si>
  <si>
    <t>Marcos Rodrigues dos Santos</t>
  </si>
  <si>
    <t>RAT-23-38</t>
  </si>
  <si>
    <t>Jose Leandro Alves de Souza</t>
  </si>
  <si>
    <t>RAT-23-39</t>
  </si>
  <si>
    <t>Rodrigo Batista dos Santos</t>
  </si>
  <si>
    <t>1/2 Operador Oficial de Máquina</t>
  </si>
  <si>
    <t>RAT-23-40</t>
  </si>
  <si>
    <t>Edson Luiz Martins</t>
  </si>
  <si>
    <t>RAT-23-41</t>
  </si>
  <si>
    <t>Wesley Levi Santos Polvora Melo</t>
  </si>
  <si>
    <t>RAT-23-42</t>
  </si>
  <si>
    <t>Bruno Santos da Silva</t>
  </si>
  <si>
    <t>RAT-23-43</t>
  </si>
  <si>
    <t>Rodrigo Custodio da Silva</t>
  </si>
  <si>
    <t>RAT-23-44</t>
  </si>
  <si>
    <t>Valdir Rodrigues Barros</t>
  </si>
  <si>
    <t>RAT-23-45</t>
  </si>
  <si>
    <t>Agustinho Alves da Silva Neto</t>
  </si>
  <si>
    <t>RAT-23-46</t>
  </si>
  <si>
    <t>Cesar Augusto Nascimento</t>
  </si>
  <si>
    <t>Líder de Manutenção</t>
  </si>
  <si>
    <t>NÃO HOUVE</t>
  </si>
  <si>
    <t>RAT-23-47</t>
  </si>
  <si>
    <t>Everton Muniz de Souza</t>
  </si>
  <si>
    <t>RAT-23-48</t>
  </si>
  <si>
    <t>Carlos Eduardo Torres de Lima</t>
  </si>
  <si>
    <t>RAT-23-49</t>
  </si>
  <si>
    <t>RAT-23-50</t>
  </si>
  <si>
    <t>Ivan Porto de Santana</t>
  </si>
  <si>
    <t>RAT-23-51</t>
  </si>
  <si>
    <t>Emanuel Messias da Cruz</t>
  </si>
  <si>
    <t>RAT-23-52</t>
  </si>
  <si>
    <t>Rodrigo Santos Loayza</t>
  </si>
  <si>
    <t>RAT-24-01</t>
  </si>
  <si>
    <t>Henrique Nunes dos Santos</t>
  </si>
  <si>
    <t>RAT-24-02</t>
  </si>
  <si>
    <t>RAT-24-03</t>
  </si>
  <si>
    <t>Andre Silva Murilo de Oliveira</t>
  </si>
  <si>
    <t>RAT-24-04</t>
  </si>
  <si>
    <t>RAT-24-05</t>
  </si>
  <si>
    <t>RAT-24-06</t>
  </si>
  <si>
    <t>Rosemberg Nascimento da Silva</t>
  </si>
  <si>
    <t>RAT-24-07</t>
  </si>
  <si>
    <t>RAT-24-08</t>
  </si>
  <si>
    <t>RAT-24-09</t>
  </si>
  <si>
    <t>RAT-24-10</t>
  </si>
  <si>
    <t>Fernando Costa Cavalcante</t>
  </si>
  <si>
    <t>RAT-24-11</t>
  </si>
  <si>
    <t>Anderson Antunes Souza</t>
  </si>
  <si>
    <t>RAT-24-12</t>
  </si>
  <si>
    <t>Jackson Luiz Oliveira de Deus</t>
  </si>
  <si>
    <t>RAT-24-13</t>
  </si>
  <si>
    <t>Patrick Alves da Silva</t>
  </si>
  <si>
    <t>RAT-24-14</t>
  </si>
  <si>
    <t>Edson Benito da Silva Santos</t>
  </si>
  <si>
    <t>RAT-24-15</t>
  </si>
  <si>
    <t>Aldair Batista dos Santos</t>
  </si>
  <si>
    <t>1/2 Oficial de Montador</t>
  </si>
  <si>
    <t>RAT-24-16</t>
  </si>
  <si>
    <t>Jonatan Ferreira Garcia</t>
  </si>
  <si>
    <t>Motorista de Caminhão</t>
  </si>
  <si>
    <t>RAT-24-17</t>
  </si>
  <si>
    <t>Sandro Jose de Oliveira</t>
  </si>
  <si>
    <t>1/2 Oficial Cozinheiro</t>
  </si>
  <si>
    <t>RAT-24-18</t>
  </si>
  <si>
    <t>Lair Aparecido de Souza</t>
  </si>
  <si>
    <t>RAT-24-19</t>
  </si>
  <si>
    <t>RAT-24-20</t>
  </si>
  <si>
    <t>Arisberto Severino Ferreira</t>
  </si>
  <si>
    <t>RAT-24-21</t>
  </si>
  <si>
    <t>RAT-24-22</t>
  </si>
  <si>
    <t>Carlos Eduardo Machado</t>
  </si>
  <si>
    <t>RAT-24-23</t>
  </si>
  <si>
    <t>Marcelo Rufino dos Santos</t>
  </si>
  <si>
    <t>RAT-24-24</t>
  </si>
  <si>
    <t>Luiz Alexander da Silva Pereira Amaral</t>
  </si>
  <si>
    <t>RAT-24-25</t>
  </si>
  <si>
    <t>Almir da Silva Alves</t>
  </si>
  <si>
    <t>RAT-24-26</t>
  </si>
  <si>
    <t>Douglas Santos de Abreu</t>
  </si>
  <si>
    <t>Leandro de Souza</t>
  </si>
  <si>
    <t>RAT-24-27</t>
  </si>
  <si>
    <t>Eduardo Costa e Silva</t>
  </si>
  <si>
    <t>RAT-24-28</t>
  </si>
  <si>
    <t>Leonardo Santos Soares de Lira</t>
  </si>
  <si>
    <t>RAT-24-29</t>
  </si>
  <si>
    <t>Washington Manoel da Silva</t>
  </si>
  <si>
    <t>RAT-24-30</t>
  </si>
  <si>
    <t>Vanildo Pereira dos Santos</t>
  </si>
  <si>
    <t>RAT-24-31</t>
  </si>
  <si>
    <t>Lucas Henrique Silva Rocha</t>
  </si>
  <si>
    <t>RAT-24-32</t>
  </si>
  <si>
    <t>Alan de Oliveira Santos</t>
  </si>
  <si>
    <t>RAT-24-33</t>
  </si>
  <si>
    <t>Andre da Cruz Costa</t>
  </si>
  <si>
    <t>RAT-24-34</t>
  </si>
  <si>
    <t>Filipe Queiroz de Lima</t>
  </si>
  <si>
    <t>RAT-24-35</t>
  </si>
  <si>
    <t>RAT-24-36</t>
  </si>
  <si>
    <t>RAT-24-37</t>
  </si>
  <si>
    <t>Leonardo Nascimento de Jesus</t>
  </si>
  <si>
    <t>RAT-24-38</t>
  </si>
  <si>
    <t>Fernando Jose Silva da Rocha</t>
  </si>
  <si>
    <t>RAT-24-39</t>
  </si>
  <si>
    <t>RAT-24-40</t>
  </si>
  <si>
    <t>Wellington Ribeiro Reis</t>
  </si>
  <si>
    <t>RAT-24-41</t>
  </si>
  <si>
    <t>Alessandro Honorato Silva</t>
  </si>
  <si>
    <t>RAT-24-42</t>
  </si>
  <si>
    <t>Leonardo Oliveira Santos</t>
  </si>
  <si>
    <t>RAT-24-43</t>
  </si>
  <si>
    <t xml:space="preserve">Iago Lucas Soares Galdino  </t>
  </si>
  <si>
    <t>RAT-24-44</t>
  </si>
  <si>
    <t>João Alves da Cruz</t>
  </si>
  <si>
    <t>RAT-24-45</t>
  </si>
  <si>
    <t>Fabio Silva de Oliveira</t>
  </si>
  <si>
    <t>RAT-24-46</t>
  </si>
  <si>
    <t>Andre dos Santos Amaral</t>
  </si>
  <si>
    <t>RAT-24-47</t>
  </si>
  <si>
    <t>RAT-24-49</t>
  </si>
  <si>
    <t>RAT-24-48</t>
  </si>
  <si>
    <t>Nicolas Andrade dos Santos</t>
  </si>
  <si>
    <t>RAT-24-50</t>
  </si>
  <si>
    <t>RAT-24-51</t>
  </si>
  <si>
    <t xml:space="preserve">Agnaldo Lucas do Nascimento </t>
  </si>
  <si>
    <t>RAT-24-52</t>
  </si>
  <si>
    <t>Moises Francisco de Aguiar</t>
  </si>
  <si>
    <t>RAT-24-53</t>
  </si>
  <si>
    <t>RAT-24-54</t>
  </si>
  <si>
    <t>RAT-24-55</t>
  </si>
  <si>
    <t>Daniel da Silva Alves</t>
  </si>
  <si>
    <t>RAT-24-56</t>
  </si>
  <si>
    <t>Vanderlei Rodrigues de Souza</t>
  </si>
  <si>
    <t>RAT-24-57</t>
  </si>
  <si>
    <t>Bruno Cardoso Guedes</t>
  </si>
  <si>
    <t>RAT-24-58</t>
  </si>
  <si>
    <t>Jessica Alves Delgado</t>
  </si>
  <si>
    <t>RAT-24-59</t>
  </si>
  <si>
    <t>James Edson De Almeida</t>
  </si>
  <si>
    <t>RAT-25-01</t>
  </si>
  <si>
    <t>Alexandre Rodrigues da Silva</t>
  </si>
  <si>
    <t>RAT-25-02</t>
  </si>
  <si>
    <t>RAT-25-03</t>
  </si>
  <si>
    <t>Gustavo Belarmino dos Santos</t>
  </si>
  <si>
    <t>RAT-25-04</t>
  </si>
  <si>
    <t>Pedro Henrique Araujo Balzano</t>
  </si>
  <si>
    <t>RAT-25-05</t>
  </si>
  <si>
    <t>Douglas Medeiros da Silva</t>
  </si>
  <si>
    <t>RAT-25-06</t>
  </si>
  <si>
    <t>RAT-25-07</t>
  </si>
  <si>
    <t>RAT-25-08</t>
  </si>
  <si>
    <t>Marcio Pacheco Ribeiro</t>
  </si>
  <si>
    <t>RAT-25-09</t>
  </si>
  <si>
    <t>RAT-25-10</t>
  </si>
  <si>
    <t>Diego Dos Santos Feitosa</t>
  </si>
  <si>
    <t>RAT-25-11</t>
  </si>
  <si>
    <t>Artur Fachola Lopes</t>
  </si>
  <si>
    <t>RAT-25-12</t>
  </si>
  <si>
    <t>Clovis Neris de Oliveira</t>
  </si>
  <si>
    <t>RAT-25-13</t>
  </si>
  <si>
    <t>Jackson Ferreira de Oliveira</t>
  </si>
  <si>
    <t>RAT-25-14</t>
  </si>
  <si>
    <t>RAT-25-15</t>
  </si>
  <si>
    <t>RAT-25-16</t>
  </si>
  <si>
    <t>Bruno Costa C. Da Silva Santos</t>
  </si>
  <si>
    <t>Líder de Produção B</t>
  </si>
  <si>
    <t>RAT-25-17</t>
  </si>
  <si>
    <t>Cristian Almeida Soares Camelo</t>
  </si>
  <si>
    <t>RAT-25-18</t>
  </si>
  <si>
    <t>Robson Pereira</t>
  </si>
  <si>
    <t>RAT-25-19</t>
  </si>
  <si>
    <t>RAT-25-20</t>
  </si>
  <si>
    <t>Douglas da Silva</t>
  </si>
  <si>
    <t>RAT-25-21</t>
  </si>
  <si>
    <t>Rondinelli Araujo Costa</t>
  </si>
  <si>
    <t>RAT-25-22</t>
  </si>
  <si>
    <t>Renato Dos Santos M. Quintino</t>
  </si>
  <si>
    <t>RAT-25-23</t>
  </si>
  <si>
    <t>RAT-25-24</t>
  </si>
  <si>
    <t>Givanildo Farias Costa</t>
  </si>
  <si>
    <t>Rogério Ramos da Silva</t>
  </si>
  <si>
    <t>TA Conex</t>
  </si>
  <si>
    <t>RAT-25-25</t>
  </si>
  <si>
    <t>Reginaldo Ferreira Dos Santos</t>
  </si>
  <si>
    <t>RAT-25-26</t>
  </si>
  <si>
    <t>Fernando Feitosa Ferreira</t>
  </si>
  <si>
    <t>RAT-25-27</t>
  </si>
  <si>
    <t>Osvaldo De Jesus Silva Junior</t>
  </si>
  <si>
    <t>RAT-25-28</t>
  </si>
  <si>
    <t>Valentim Prestes Nicoleti</t>
  </si>
  <si>
    <t>Açotubo CXS</t>
  </si>
  <si>
    <t>Filiais</t>
  </si>
  <si>
    <t>RAT-25-29</t>
  </si>
  <si>
    <t>Amabile da Silva Santos</t>
  </si>
  <si>
    <t>Copeira</t>
  </si>
  <si>
    <t>RAT-25-30</t>
  </si>
  <si>
    <t>Sidnei da Silva Ferreira</t>
  </si>
  <si>
    <t>RAT-25-31</t>
  </si>
  <si>
    <t>Fabio Silva De Oliveira</t>
  </si>
  <si>
    <t>Patricia da Silva Leão</t>
  </si>
  <si>
    <t>RAT-25-32</t>
  </si>
  <si>
    <t>Tiago Dos Santos Silva</t>
  </si>
  <si>
    <t>Gilberto Pereira da Silva</t>
  </si>
  <si>
    <t>RAT-25-33</t>
  </si>
  <si>
    <t>Edjaldo Rosa Dos Santos</t>
  </si>
  <si>
    <t>RAT-25-34</t>
  </si>
  <si>
    <t>Guilherme Amorim Silva</t>
  </si>
  <si>
    <t>RAT-25-35</t>
  </si>
  <si>
    <t>Alex Sandro De Freitas</t>
  </si>
  <si>
    <t>Açotubo Joinville</t>
  </si>
  <si>
    <t>RAT-25-36</t>
  </si>
  <si>
    <t>RAT-25-37</t>
  </si>
  <si>
    <t>RAT-25-38</t>
  </si>
  <si>
    <t>Dario de Melo Lima</t>
  </si>
  <si>
    <t>RAT-25-39</t>
  </si>
  <si>
    <t xml:space="preserve">Lucas de Siqueira </t>
  </si>
  <si>
    <t>RAT-25-40</t>
  </si>
  <si>
    <t>https://gacotubo.sharepoint.com/sites/SESMTA/Documentos%20Compartilhados/Organizar/SESMT_v1/SESMT/Ocorr%C3%AAncia%20Indesejada/Gest%C3%A3o%202026/04%20RAT/2026.01.06%20Maicom%20da%20Silva%20Paim/A2026.01.06%20Maicom%20da%20Silva%20Paim.pdf</t>
  </si>
  <si>
    <t>RAT-26-01</t>
  </si>
  <si>
    <t>Maicom da Silva Paim</t>
  </si>
  <si>
    <t>Auxiliar de Depósito</t>
  </si>
  <si>
    <t>https://gacotubo.sharepoint.com/sites/SESMTA/Documentos%20Compartilhados/Organizar/SESMT_v1/SESMT/Ocorr%C3%AAncia%20Indesejada/Gest%C3%A3o%202026/04%20RAT/2026.01.07%20Cosme%20Aparecido%20Bie/A2026.01.07%20Cosme%20Aparecido%20Bie.pdf</t>
  </si>
  <si>
    <t>RAT-26-02</t>
  </si>
  <si>
    <t>Cosme Aparecido Bie</t>
  </si>
  <si>
    <t>https://gacotubo.sharepoint.com/sites/SESMTA/Documentos%20Compartilhados/Organizar/SESMT_v1/SESMT/Ocorr%C3%AAncia%20Indesejada/Gest%C3%A3o%202026/04%20RAT/2026.01.09%20Helio%20De%20Souza%20Noronha/A2026.01.09%20Helio%20De%20Souza%20Noronha.pdf</t>
  </si>
  <si>
    <t>RAT-26-03</t>
  </si>
  <si>
    <t>https://gacotubo.sharepoint.com/sites/SESMTA/Documentos%20Compartilhados/Organizar/SESMT_v1/SESMT/Ocorr%C3%AAncia%20Indesejada/Gest%C3%A3o%202026/04%20RAT/2026.01.27%20Anderson%20da%20Concei%C3%A7%C3%A3o/A2026.01.27%20Anderson%20da%20Concei%C3%A7%C3%A3o.pdf</t>
  </si>
  <si>
    <t>RAT-26-04</t>
  </si>
  <si>
    <t>Anderson da Conceição</t>
  </si>
  <si>
    <t>RAT-26-05</t>
  </si>
  <si>
    <t>RAT-26-06</t>
  </si>
  <si>
    <t>Edvan Nicacio Rodrigues</t>
  </si>
  <si>
    <t>RAT-26-07</t>
  </si>
  <si>
    <t>Rogerio Josias de Oliveira</t>
  </si>
  <si>
    <t>RAT-26-08</t>
  </si>
  <si>
    <t>RAT-26-09</t>
  </si>
  <si>
    <t>RAT-26-10</t>
  </si>
  <si>
    <t>RAT-26-11</t>
  </si>
  <si>
    <t>Samuel Silva de Jesus</t>
  </si>
  <si>
    <t>Antonio Ribeiro</t>
  </si>
  <si>
    <t>Felipe Vaz Silva Pacheco</t>
  </si>
  <si>
    <t>RAT-26-12</t>
  </si>
  <si>
    <t>RAT-26-13</t>
  </si>
  <si>
    <t>Acotubo Canoas</t>
  </si>
  <si>
    <t>Reinaldo Pereira dos Santos</t>
  </si>
  <si>
    <t>https://gacotubo.sharepoint.com/sites/SESMTA/Documentos%20Compartilhados/Organizar/SESMT_v1/SESMT/Ocorr%C3%AAncia%20Indesejada/Gest%C3%A3o%202026/04%20RAT/2026.02.12%20Reinaldo%20Pereira%20dos%20Santos/A2026.02.12%20Reinaldo%20Pereira%20dos%20Santos.pdf</t>
  </si>
  <si>
    <t>https://gacotubo.sharepoint.com/sites/SESMTA/Documentos%20Compartilhados/Organizar/SESMT_v1/SESMT/Ocorr%C3%AAncia%20Indesejada/Gest%C3%A3o%202026/04%20RAT/2026.02.18%20Edvan%20Nicacio%20Rodrigues/A2026.02.18%20Edvan%20Nicacio%20Rodrigues.pdf</t>
  </si>
  <si>
    <t>https://gacotubo.sharepoint.com/sites/SESMTA/Documentos%20Compartilhados/Organizar/SESMT_v1/SESMT/Ocorr%C3%AAncia%20Indesejada/Gest%C3%A3o%202026/04%20RAT/2026.02.18%20Tiago%20Dos%20Santos%20Silva/A2026.02.18%20Tiago%20Dos%20Santos%20Silva.pdf</t>
  </si>
  <si>
    <t>https://gacotubo.sharepoint.com/sites/SESMTA/Documentos%20Compartilhados/Organizar/SESMT_v1/SESMT/Ocorr%C3%AAncia%20Indesejada/Gest%C3%A3o%202026/04%20RAT/2026.02.19%20Regis%20Fernando%20Vieira/A2026.02.19%20Regis%20Fernando%20Vieira.pdf</t>
  </si>
  <si>
    <t>Analista de Pcp Júnior</t>
  </si>
  <si>
    <t>Mecanico de Manutencao</t>
  </si>
  <si>
    <t>Assistente de Recebimento</t>
  </si>
  <si>
    <t>https://gacotubo.sharepoint.com/sites/SESMTA/Documentos%20Compartilhados/Organizar/SESMT_v1/SESMT/Ocorr%C3%AAncia%20Indesejada/Gest%C3%A3o%202026/04%20RAT/2026.02.20%20Rodrigo%20Custodio%20da%20Silva/A2026.02.20%20Rodrigo%20Custodio%20da%20Silva.pdf</t>
  </si>
  <si>
    <t>Helio de Souza Noronha</t>
  </si>
  <si>
    <t>https://gacotubo.sharepoint.com/sites/SESMTA/Documentos%20Compartilhados/Organizar/SESMT_v1/SESMT/Ocorr%C3%AAncia%20Indesejada/Gest%C3%A3o%202026/04%20RAT/2026.02.20%20Samuel%20Silva%20de%20Jesus/A2026.02.20%20Samuel%20Silva%20de%20Jesus.pdf</t>
  </si>
  <si>
    <t>https://gacotubo.sharepoint.com/sites/SESMTA/Documentos%20Compartilhados/Organizar/SESMT_v1/SESMT/Ocorr%C3%AAncia%20Indesejada/Gest%C3%A3o%202026/04%20RAT/2026.02.23%20Felipe%20Vaz%20Pacheco/A2026.02.23%20Felipe%20Vaz%20Pacheco.pdf</t>
  </si>
  <si>
    <t>https://gacotubo.sharepoint.com/sites/SESMTA/Documentos%20Compartilhados/Organizar/SESMT_v1/SESMT/Ocorr%C3%AAncia%20Indesejada/Gest%C3%A3o%202026/04%20RAT/2026.02.18%20Rogerio%20Josias%20de%20Oliveira/A2026.02.18%20Rogerio%20Josias%20de%20Oliveira.pdf</t>
  </si>
  <si>
    <t>RAT-26-14</t>
  </si>
  <si>
    <t>Agnaldo Lucas Do Nascimento</t>
  </si>
  <si>
    <t>https://gacotubo.sharepoint.com/sites/SESMTA/Documentos%20Compartilhados/Organizar/SESMT_v1/SESMT/Ocorr%C3%AAncia%20Indesejada/Gest%C3%A3o%202026/04%20RAT/2026.02.23%20Antonio%20Ribeiro/A2026.02.23%20Antonio%20Ribeiro.pdf</t>
  </si>
  <si>
    <t>https://gacotubo.sharepoint.com/sites/SESMTA/Documentos%20Compartilhados/Organizar/SESMT_v1/SESMT/Ocorr%C3%AAncia%20Indesejada/Gest%C3%A3o%202026/04%20RAT/2026.02.26%20Agnaldo%20Lucas%20do%20Nascimento/A2026.02.26%20Agnaldo%20Lucas%20do%20Nascimento.pdf</t>
  </si>
  <si>
    <t>RAT</t>
  </si>
  <si>
    <t>Nome</t>
  </si>
  <si>
    <t>Nro. PA</t>
  </si>
  <si>
    <t>SESMT</t>
  </si>
  <si>
    <t>CONCLUÍDO</t>
  </si>
  <si>
    <t>Conscientização de atenção no trabalho durante as atividades de risco.</t>
  </si>
  <si>
    <t>QUEM?</t>
  </si>
  <si>
    <t>STATUS</t>
  </si>
  <si>
    <t>AÇÃO?</t>
  </si>
  <si>
    <t>COMO?</t>
  </si>
  <si>
    <t>QUANDO?</t>
  </si>
  <si>
    <t>Conscientizar os colaboradores sobre os riscos envolvidos no com movimentação de carga.</t>
  </si>
  <si>
    <t>Produção</t>
  </si>
  <si>
    <t>PENDENTE</t>
  </si>
  <si>
    <t>Neutralizar a movimentação manual de peças similares as condições geométricas e de armazenamento deste acidente.</t>
  </si>
  <si>
    <t xml:space="preserve">Não acumular materiais na área de PA. </t>
  </si>
  <si>
    <t>Este material deverá ser encaminhado imediatamente até a expedição.</t>
  </si>
  <si>
    <t>Neutralizar a movimentação manual de chapa com forma de pinça com as mãos.</t>
  </si>
  <si>
    <t>Estudo de aquisição de um carrinho de transporte</t>
  </si>
  <si>
    <t>Estudo de posicionamento mais favorável para a acomodação de chapas para processo em lixadeira.</t>
  </si>
  <si>
    <t>Avaliação do time produtivo e da segurança do trabalho</t>
  </si>
  <si>
    <t>Alerta de Segurança</t>
  </si>
  <si>
    <t>Divulgar documento a todos os turnos sobre a proibição de saltar de pilhas/equipamentos e a obrigatoriedade de uso de acessos seguros.</t>
  </si>
  <si>
    <t>Padronizar e disponibilizar acesso seguro</t>
  </si>
  <si>
    <t>Adquirir e alocar escadas tipo plataforma/corrimão dimensionadas para a área de estocagem de tubos.</t>
  </si>
  <si>
    <t>Nivelamento do piso</t>
  </si>
  <si>
    <t>Realizar obra civil para eliminar o degrau/desnível existente ao lado da base da ponte rolante na área do acidente.</t>
  </si>
  <si>
    <t>Revisão de Procedimento Operacional</t>
  </si>
  <si>
    <t>Mapear a atividade ocasional de amarração superior de tubos, inserindo a etapa obrigatória de posicionamento da escada antes do içamento.</t>
  </si>
  <si>
    <t>Produção
Obras</t>
  </si>
  <si>
    <t>Produção 
SESMT</t>
  </si>
  <si>
    <t>SESMT
Produção</t>
  </si>
  <si>
    <t>Através de Diálogo de Segurança (DS)</t>
  </si>
  <si>
    <t>Retrofit da máquina</t>
  </si>
  <si>
    <t>Estudo técnico de adequação de maquinário (NR-12) e posterior instalação na máquina TT-01</t>
  </si>
  <si>
    <t>Revisar o procedimento de operação definindo o passo a passo seguro para o caso de travamento no final da bobina.</t>
  </si>
  <si>
    <t>Atualização da instrução de trabalho e validação prática com a equipe de operação.</t>
  </si>
  <si>
    <t>Emitir e divulgar informe sobre o acidente e a causa raiz.</t>
  </si>
  <si>
    <t>Diálogo de Segurança</t>
  </si>
  <si>
    <t xml:space="preserve">Trave o Risco: Calce com cunhas de madeiras antes de acessar tubos ou barras armazenadas individualmente. </t>
  </si>
  <si>
    <t>Criar sinalização acerca de materiais travados com cunha para acesso.</t>
  </si>
  <si>
    <t>Criação e aquisição de placas de sinalização, a serem instaladas estrategicamente.</t>
  </si>
  <si>
    <t>Divulgação de DDS para todas as frentes operacionais, alertando sobre os riscos de falhas no piso e atenção redobrada durante o trajeto.</t>
  </si>
  <si>
    <t>Rastreamento imediato de tampas com o mesmo problema</t>
  </si>
  <si>
    <t>Ronda de fábrica e formalização dos problemas encontrados: Adeni: RIF-427983-2026 e Cleber: RIF-349429-2026.</t>
  </si>
  <si>
    <t>Reparo estrutural da caixa de captação</t>
  </si>
  <si>
    <t>Reconstrução da base de apoio de alvenaria e fixação de nova tampa metálica que suporte o trânsito no local.</t>
  </si>
  <si>
    <t>Demarcação in loco para evitar que pedestres transitem sobre a tampa</t>
  </si>
  <si>
    <t>Ação contra acidente de trajeto</t>
  </si>
  <si>
    <t>Programa de conscientização com palestras</t>
  </si>
  <si>
    <t>Elaboração e divulgação de alerta sobre o acidente, reforçando a percepção de risco, a proibição de trabalhar em linha de fogo e a obrigatoriedade da organização 5S antes de içamentos.</t>
  </si>
  <si>
    <t>Adequação de Layout e Amarrações</t>
  </si>
  <si>
    <t>Eliminar as amarrações perigosas feitas com arames recozidos nas pilhas de tubos adjacentes (identificadas nas imagens de CFTV) e providenciar método seguro de contenção.</t>
  </si>
  <si>
    <t>Sinalização acerca de materiais travados para acesso.</t>
  </si>
  <si>
    <t>Criação e aquisição de placas de sinalização a serem instaladas em locais estratégicos.</t>
  </si>
  <si>
    <t>Emitir e divulgar informe sobre o acidente, destacando o perigo da linha de fogo e a regra de ouro do contato visual em manobras.</t>
  </si>
  <si>
    <t>Avaliação do Método de Trabalho</t>
  </si>
  <si>
    <t>Estudar a viabilidade de implantar dispositivos extensores (ganchos, bastões empurradores) para evitar a necessidade do toque manual direto nos tubos suspensos.</t>
  </si>
  <si>
    <t>Avaliar viabilidade de implantação de talha, pórtico ou dispositivo auxiliar dedicado para as movimentações de carga de até 16kg nesta máquina.</t>
  </si>
  <si>
    <t>Estudo de viabilidade técnica e adequação ergonômica da célula.</t>
  </si>
  <si>
    <t>Emissão de Alerta de Segurança informando sobre o evento, orientando sobre vias obstruídas e proibindo expressamente o ato de pular sobre materiais.</t>
  </si>
  <si>
    <t>Reorganizar e padronizar o layout de áreas de armazenamento intermitentes da Nave 02 b</t>
  </si>
  <si>
    <t>Demarcando faixas de pedestre visíveis e proibindo a parada de materiais que invadam o limite dos corredores.</t>
  </si>
  <si>
    <t>Divulgação do Alerta sobre risco de prensamento por implementos de caminhões e proibição de desvio de função.</t>
  </si>
  <si>
    <t>Proibir o apoio manual na movimentação de tampas de carretas.</t>
  </si>
  <si>
    <t>Realização de Diálogo Diário de Segurança (DDS) instruindo a equipe sobre as limitações do apoio a motoristas terceiros.</t>
  </si>
  <si>
    <t>Notificar transportadoras sobre a responsabilidade do manuseio da carreta.</t>
  </si>
  <si>
    <t>Emissão de comunicado formal exigindo a presença de ajudante do próprio transportador para carretas graneleiro.</t>
  </si>
  <si>
    <t>Definir padrão seguro para acondicionamento de tampas na doca.</t>
  </si>
  <si>
    <t>Criação de demarcação de solo ou instrução para que as tampas sejam deitadas no chão de forma plana, não vertical.</t>
  </si>
  <si>
    <t>Estudo de dispositivo para movimentação de carga. Providenciar outra máquina de serra com recurso de talha (serra disco 21 e 80)</t>
  </si>
  <si>
    <t>Provisão de barreiras físicas (para evitar o deslocamento de tubos.</t>
  </si>
  <si>
    <t>Resultado do estudo: Não aplicável, pois deixaremos a área vazia</t>
  </si>
  <si>
    <t>Elaboração de demarcação de solo</t>
  </si>
  <si>
    <t>RAT-26-15</t>
  </si>
  <si>
    <t>Jeferson dos Santos Medrado da Silva</t>
  </si>
  <si>
    <t>RAT-26-16</t>
  </si>
  <si>
    <t>RAT-26-17</t>
  </si>
  <si>
    <t>Matheus da Cunha Assunção</t>
  </si>
  <si>
    <t>https://gacotubo.sharepoint.com/sites/SESMTA/Documentos%20Compartilhados/Organizar/SESMT_v1/SESMT/Ocorr%C3%AAncia%20Indesejada/Gest%C3%A3o%202026/04%20RAT/2026.03.16%20Jeferson%20dos%20Santos%20Medrado%20da%20Silva/A2026.03.16%20Jeferson%20dos%20Santos%20Medrado%20da%20Silva.pdf</t>
  </si>
  <si>
    <t>RAT-26-18</t>
  </si>
  <si>
    <t>Samuel Gomes de Melo</t>
  </si>
  <si>
    <t>RAT-26-19</t>
  </si>
  <si>
    <t>RAT-26-20</t>
  </si>
  <si>
    <t>Andrigo Da Silva Caraça</t>
  </si>
  <si>
    <t>Bruno Cantadeiro Azevedo</t>
  </si>
  <si>
    <t>Assistente de Engenharia</t>
  </si>
  <si>
    <t>Tiago Oliveira Paula</t>
  </si>
  <si>
    <t>Wilian Santos da Silveira</t>
  </si>
  <si>
    <t>RAT-26-21</t>
  </si>
  <si>
    <t>RAT-26-22</t>
  </si>
  <si>
    <t>https://gacotubo.sharepoint.com/sites/SESMTA/Documentos%20Compartilhados/Organizar/SESMT_v1/SESMT/Ocorr%C3%AAncia%20Indesejada/Gest%C3%A3o%202026/04%20RAT/2026.03.24%20Andrigo%20da%20Silva%20Cara%C3%A7a/A2026.03.24%20Andrigo%20da%20Silva%20Cara%C3%A7a.pdf</t>
  </si>
  <si>
    <t>https://gacotubo.sharepoint.com/sites/SESMTA/Documentos%20Compartilhados/Organizar/SESMT_v1/SESMT/Ocorr%C3%AAncia%20Indesejada/Gest%C3%A3o%202026/04%20RAT/2026.03.23%20Maicom%20da%20Silva%20Paim/A2026.03.23%20Maicom%20da%20Silva%20Paim.pdf</t>
  </si>
  <si>
    <t>https://gacotubo.sharepoint.com/sites/SESMTA/Documentos%20Compartilhados/Organizar/SESMT_v1/SESMT/Ocorr%C3%AAncia%20Indesejada/Gest%C3%A3o%202026/04%20RAT/2026.03.24%20Matheus%20da%20Cunha%20Assun%C3%A7%C3%A3o/A2026.03.24%20Matheus%20da%20Cunha%20Assun%C3%A7%C3%A3o.pdf</t>
  </si>
  <si>
    <t>https://gacotubo.sharepoint.com/sites/SESMTA/Documentos%20Compartilhados/Organizar/SESMT_v1/SESMT/Ocorr%C3%AAncia%20Indesejada/Gest%C3%A3o%202026/04%20RAT/2026.03.24%20Samuel%20Gomes%20de%20Melo/A2026.03.24%20Samuel%20Gomes%20de%20Melo.pdf</t>
  </si>
  <si>
    <t>RAT-26-23</t>
  </si>
  <si>
    <t>RAT-26-24</t>
  </si>
  <si>
    <t>RAT-26-25</t>
  </si>
  <si>
    <t>Robson Alves de Amorim</t>
  </si>
  <si>
    <t>RAT-26-26</t>
  </si>
  <si>
    <t>RAT-26-27</t>
  </si>
  <si>
    <t>Rodrigo Cesar Prebianca</t>
  </si>
  <si>
    <t>Lider De Carregamento</t>
  </si>
  <si>
    <t>Hora</t>
  </si>
  <si>
    <t>DiaSemana</t>
  </si>
  <si>
    <t>Período</t>
  </si>
  <si>
    <t>https://gacotubo.sharepoint.com/sites/SESMTA/Documentos%20Compartilhados/Organizar/SESMT_v1/SESMT/Ocorr%C3%AAncia%20Indesejada/Gest%C3%A3o%202026/04%20RAT/2026.03.25%20Bruno%20Cantadeiro%20Azevedo/A2026.03.25%20Bruno%20Cantadeiro%20Azevedo.pdf</t>
  </si>
  <si>
    <t>https://gacotubo.sharepoint.com/sites/SESMTA/Documentos%20Compartilhados/Organizar/SESMT_v1/SESMT/Ocorr%C3%AAncia%20Indesejada/Gest%C3%A3o%202026/04%20RAT/2026.04.13%20Wilian%20Santos%20da%20Silveira/A2026.04.13%20Wilian%20Santos%20da%20Silveira.pdf</t>
  </si>
  <si>
    <t>https://gacotubo.sharepoint.com/sites/SESMTA/Documentos%20Compartilhados/Organizar/SESMT_v1/SESMT/Ocorr%C3%AAncia%20Indesejada/Gest%C3%A3o%202026/04%20RAT/2026.04.15%20Kurt%20da%20Concei%C3%A7%C3%A3o%20Ferreira%20Candido/A2026.04.15%20Kurt%20da%20Concei%C3%A7%C3%A3o%20Ferreira%20Candido.pdf</t>
  </si>
  <si>
    <t>https://gacotubo.sharepoint.com/sites/SESMTA/Documentos%20Compartilhados/Organizar/SESMT_v1/SESMT/Ocorr%C3%AAncia%20Indesejada/Gest%C3%A3o%202026/04%20RAT/2026.04.15%20Martines%20Batista%20Rocha/A2026.04.15%20Martines%20Batista%20Rocha.pdf</t>
  </si>
  <si>
    <t>https://gacotubo.sharepoint.com/sites/SESMTA/Documentos%20Compartilhados/Organizar/SESMT_v1/SESMT/Ocorr%C3%AAncia%20Indesejada/Gest%C3%A3o%202026/04%20RAT/2026.04.28%20Robson%20Alves%20de%20Amorim/A2026.04.28%20Robson%20Alves%20de%20Amorim.pdf</t>
  </si>
  <si>
    <t>Alerta de segurança</t>
  </si>
  <si>
    <t>Via diálogo de segurança</t>
  </si>
  <si>
    <t>Treinamento de trabalho em altura ao auxiliar de produção</t>
  </si>
  <si>
    <t>Via aplicação da norma NR-35, instrutor Wagner Conceição, técnico de segurança do trabalho</t>
  </si>
  <si>
    <t>Checagem de cintos e condições do treinamento de trabalho em altura para todos que laboram nas mesmas condições.</t>
  </si>
  <si>
    <t>Inspeção visual manual, funcionário a funcionário</t>
  </si>
  <si>
    <t>Jeferson dos S. M.  da Silva.</t>
  </si>
  <si>
    <t>Alerta de segurança.</t>
  </si>
  <si>
    <t>Repassar o Diálogo de Segurança focando na inspeção prévia e comunicação imediata de incidentes.</t>
  </si>
  <si>
    <t>Isolar e Organizar Área (5S)</t>
  </si>
  <si>
    <t>Utilizar sinalização de bloqueio nos tubos identificados como desalinhados (Contenção)</t>
  </si>
  <si>
    <t>Instalação de bloqueios mecânicos</t>
  </si>
  <si>
    <t>Projetar o uso de cunhas/sapatas para impedir fisicamente o rolamento</t>
  </si>
  <si>
    <t>Instrução de trabalho</t>
  </si>
  <si>
    <t>Implementar a instrução de trabalho da matriz em ambiente produtivo</t>
  </si>
  <si>
    <t>Maicon da Silva Pain</t>
  </si>
  <si>
    <t>Andrigo da Silva Caraça</t>
  </si>
  <si>
    <t>Divulgar evento alertando para o risco de efeito mola e escorregamento de barras.</t>
  </si>
  <si>
    <t>Diálogo de segurança com informe da ocorrência e medidas de prevenção de acidentes.</t>
  </si>
  <si>
    <t>Divulgar Alerta de Segurança e DDS sobre linha de fogo e obrigatoriedade da luva CA 43.269.</t>
  </si>
  <si>
    <t>Avaliação do método</t>
  </si>
  <si>
    <t>Avaliar substituição da martelagem manual por ferramentas de fixação pneumática (pinador/grampeador) para distanciar o colaborador da quina.</t>
  </si>
  <si>
    <t>Atualização da IT, se alterado o método</t>
  </si>
  <si>
    <t>Caso alterado o processo, atualizar a Instrução de Trabalho (IT) do processo de embalagem com foco na proibição da exposição da mão próxima às chapas de Inox sem proteção primária.</t>
  </si>
  <si>
    <t>Orientação para os funcionários sobre trava de segurança</t>
  </si>
  <si>
    <t>Reunião com lideranças in loco e diálogos de segurança</t>
  </si>
  <si>
    <t>Fixação da trava de segurança com abraçadeira de nylon</t>
  </si>
  <si>
    <t>Furo na estrutura e fechamento com abraçadeira de nylon</t>
  </si>
  <si>
    <t>Adição de trava de segurança redundante do lado esquerdo do portão (sentido saída do galpão)</t>
  </si>
  <si>
    <t>Confecção de barra, e suporte de fixação soldado na estrutura</t>
  </si>
  <si>
    <t>Fixação da trava de segurança com abraçadeira de nylon na nova trava de segurança.</t>
  </si>
  <si>
    <t>Sinalização acerca de manter as 2 travas de segurança em posição fechada, com abraçadeira de nylon</t>
  </si>
  <si>
    <t>Confecção de placa com informações de risco acentuado</t>
  </si>
  <si>
    <t>Filial Joinville</t>
  </si>
  <si>
    <t>Filial Caxias</t>
  </si>
  <si>
    <t>Filial Canoas</t>
  </si>
  <si>
    <t>Diálogo online para todas as filiais sobre o tema, posteriormente multiplicado para as Unidades GRU.</t>
  </si>
  <si>
    <t>Revisar recursos de acesso</t>
  </si>
  <si>
    <t>Avaliação sobre necessidade de adquirir mais escadas, além das existentes in loco.</t>
  </si>
  <si>
    <t>Treinamento de segurança para o funcionário</t>
  </si>
  <si>
    <t>Treinamento online sobre segurança para o funcionário.</t>
  </si>
  <si>
    <t>Treinamento de Segurança aos Funcionários</t>
  </si>
  <si>
    <t>Treinamento presencial individual</t>
  </si>
  <si>
    <t>Diálogo de Segurança Online.</t>
  </si>
  <si>
    <t>Revisar o acompanhamento de recém admitidos</t>
  </si>
  <si>
    <t>Orientar lideranças acerca do acompanhamento de recém admitidos.</t>
  </si>
  <si>
    <t>Treinamento de retorno ao trabalho</t>
  </si>
  <si>
    <t>Treinamento realizado por técnico de segurança para o funcionário acidentado, por meio de explicação da investigação de acidente.</t>
  </si>
  <si>
    <t>Kurt da C. Ferreira Cândido</t>
  </si>
  <si>
    <t>Diálogo de segurança presencial</t>
  </si>
  <si>
    <t>Orientação presencial individual</t>
  </si>
  <si>
    <t>Estudo de dispositivo para movimentação de chapas</t>
  </si>
  <si>
    <t>Busca de fornecedores para apresentar equipamentos com ventosas e alternativas.</t>
  </si>
  <si>
    <t>Diálogo de segurança presencial para a Divisão</t>
  </si>
  <si>
    <t>Treinamento do funcionário presencial acerca das condições de segurança por meio da investigação de acidente.</t>
  </si>
  <si>
    <t>Verificar pressão da rede</t>
  </si>
  <si>
    <t>Checar o pressostato e regulagem da linha de ar comprimido da carpintaria para evitar força excessiva e rebote das máquinas.</t>
  </si>
  <si>
    <t>Diálogo de Segurança Presencial</t>
  </si>
  <si>
    <t>Orientação individual acerca das informações da investigação de acidente do trabalho.</t>
  </si>
  <si>
    <t>https://gacotubo.sharepoint.com/sites/SESMTA/Documentos%20Compartilhados/Organizar/SESMT_v1/SESMT/Ocorr%C3%AAncia%20Indesejada/Gest%C3%A3o%202026/04%20RAT/2026.05.04%20Rodrigo%20Cesar%20Prebianca/A2026.05.04%20Rodrigo%20Cesar%20Prebianca.pdf</t>
  </si>
  <si>
    <t>Diálogo de Segurança Online para todas as Filiais</t>
  </si>
  <si>
    <t>Treinamento de Retorno ao Trabalho</t>
  </si>
  <si>
    <t>Orientações Individuais ao Funcionário via MS Teams</t>
  </si>
  <si>
    <t>Alexsander de Oliveira</t>
  </si>
  <si>
    <t>https://gacotubo.sharepoint.com/sites/SESMTA/Documentos%20Compartilhados/Organizar/SESMT_v1/SESMT/Ocorr%C3%AAncia%20Indesejada/Gest%C3%A3o%202026/04%20RAT/2026.04.13%20Alexsander%20de%20Oliveira/A2026.04.13%20Alexsander%20de%20Oliveira.pdf</t>
  </si>
  <si>
    <t>Local HH</t>
  </si>
  <si>
    <t>Previsto</t>
  </si>
  <si>
    <t>Total</t>
  </si>
  <si>
    <t>HH</t>
  </si>
  <si>
    <t>Açocred</t>
  </si>
  <si>
    <t>AÇOTUBO - Canoas</t>
  </si>
  <si>
    <t>AÇOTUBO - Carbono</t>
  </si>
  <si>
    <t>AÇOTUBO - Caxias do Sul</t>
  </si>
  <si>
    <t>AÇOTUBO - Caxias do Sul II</t>
  </si>
  <si>
    <t>AÇOTUBO - Conexões</t>
  </si>
  <si>
    <t>AÇOTUBO - Curitiba</t>
  </si>
  <si>
    <t>AÇOTUBO - Inox</t>
  </si>
  <si>
    <t>AÇOTUBO - Joinville</t>
  </si>
  <si>
    <t>AÇOTUBO - Maringá</t>
  </si>
  <si>
    <t>AÇOTUBO - Minas Gerais</t>
  </si>
  <si>
    <t>AÇOTUBO - Piracicaba</t>
  </si>
  <si>
    <t>AÇOTUBO - Rio de Janeiro</t>
  </si>
  <si>
    <t>AÇOTUBO - Sertãozinho</t>
  </si>
  <si>
    <t>AÇOTUBO - Soluções Majestic</t>
  </si>
  <si>
    <t>Caxias do Sul</t>
  </si>
  <si>
    <t>Joinville</t>
  </si>
  <si>
    <t>AÇOTUBO - Guarulhos</t>
  </si>
  <si>
    <t>AÇOTUBO - Matriz</t>
  </si>
  <si>
    <t>ACOTUBO - SOLUCOES INTEGRADAS</t>
  </si>
  <si>
    <t>Acidentes</t>
  </si>
  <si>
    <t>Afastamento</t>
  </si>
  <si>
    <t>Frequência</t>
  </si>
  <si>
    <t>Gravidade</t>
  </si>
  <si>
    <t>Freq Status</t>
  </si>
  <si>
    <t>Grav Status</t>
  </si>
  <si>
    <t>RAT-26-28</t>
  </si>
  <si>
    <t>RAT-26-29</t>
  </si>
  <si>
    <t>Olavo Júnior dos Santos</t>
  </si>
  <si>
    <t>Qualidade</t>
  </si>
  <si>
    <t>Aguinaldo Neto</t>
  </si>
  <si>
    <t>Assistente Controle de Qualidade</t>
  </si>
  <si>
    <t>TA Adm</t>
  </si>
  <si>
    <t>https://gacotubo.sharepoint.com/sites/SESMTA/Documentos%20Compartilhados/Organizar/SESMT_v1/SESMT/Ocorr%C3%AAncia%20Indesejada/Gest%C3%A3o%202026/04%20RAT/2026.05.28%20Olavo%20Junior%20dos%20Santos/A2026.05.28%20Olavo%20Junior%20dos%20Santos.pdf</t>
  </si>
  <si>
    <t>https://gacotubo.sharepoint.com/sites/SESMTA/Documentos%20Compartilhados/Organizar/SESMT_v1/SESMT/Ocorr%C3%AAncia%20Indesejada/Gest%C3%A3o%202026/04%20RAT/2026.07.02%20Vladimir%20Brito%20Roberto/A2026.07.02%20Vladimir%20Brito%20Roberto.pdf</t>
  </si>
  <si>
    <t>Vladimir Brito Roberto</t>
  </si>
  <si>
    <t>RAT-26-30</t>
  </si>
  <si>
    <t>RAT-26-31</t>
  </si>
  <si>
    <t>RAT-26-32</t>
  </si>
  <si>
    <t>RAT-26-33</t>
  </si>
  <si>
    <t>Hugo Correia dos Santos</t>
  </si>
  <si>
    <t>Pablo Oliveira Alves Serafim</t>
  </si>
  <si>
    <t>RAT-26-34</t>
  </si>
  <si>
    <t>Agnaldo de Jesus Aguiar Santos</t>
  </si>
  <si>
    <t>RAT-26-35</t>
  </si>
  <si>
    <t>Marcos Alberto de Souza Junior</t>
  </si>
  <si>
    <t>RAT-26-36</t>
  </si>
  <si>
    <t>Fabiano Farias Santos</t>
  </si>
  <si>
    <t>Tiago dos Santos Silva</t>
  </si>
  <si>
    <t>https://gacotubo.sharepoint.com/:b:/s/SESMTA/IQCk4mkyN8avTo49gMqEZNDjAYChurxOHRjLbU4jxlvLqOg?e=OX2eHt</t>
  </si>
  <si>
    <t>https://gacotubo.sharepoint.com/:b:/s/SESMTA/IQDdj3UZE44URbpOw1gM69ocAUHfPBcxXXWCOW4zMp-qUqU?e=yeIaP8</t>
  </si>
  <si>
    <t>https://gacotubo.sharepoint.com/:b:/s/SESMTA/IQB0y8cpQobrRqqVhvpHMrQ8AfMwfK4Ile3_XeEaHP4ynew?e=6EnFqM</t>
  </si>
  <si>
    <t>RAT-26-37</t>
  </si>
  <si>
    <t>RAT-26-38</t>
  </si>
  <si>
    <t>RAT-26-39</t>
  </si>
  <si>
    <t>https://gacotubo.sharepoint.com/:b:/s/SESMTA/IQA09lvz5yn7ToTFpIKDckaqAZ1GFys3WGSKXc_LDjTvwIo?e=WuHopx</t>
  </si>
  <si>
    <t>https://gacotubo.sharepoint.com/:b:/s/SESMTA/IQAK-miNCnmZQqlLwOAWDnkRAUUtcbuoFLMmoSebYieW_wc?e=8paJcF</t>
  </si>
  <si>
    <t>https://gacotubo.sharepoint.com/:b:/s/SESMTA/IQBO-5Cy6CU5S7imXQWlf1oPAbbL3GhivN7ggpc7eaTtKj0?e=hW4kgz</t>
  </si>
  <si>
    <t>https://gacotubo.sharepoint.com/:b:/s/SESMTA/IQCHjsALu-__T77b9OVWHlJ5AR7gvgbg4xipHegOdfeWOv0?e=fswdaA</t>
  </si>
  <si>
    <t>https://gacotubo.sharepoint.com/:b:/s/SESMTA/IQDZmNPb-ml3SK7ci3dEeK6YAUTQyZPlpyls5uu49Y2yIG8?e=ciRCl2</t>
  </si>
  <si>
    <t>https://gacotubo.sharepoint.com/:b:/s/SESMTA/IQCYJKe5Kox-QKmskaIG-zC8AcqAGLkxslF6qPrhhM9iDZM?e=VSdhbs</t>
  </si>
  <si>
    <t>https://gacotubo.sharepoint.com/:b:/s/SESMTA/IQCYUJciWJfdR6CnJBtn1golAZxu2tuSA1yPCSoZt99Oq7U?e=c2ryqo</t>
  </si>
  <si>
    <t>RAT-26-40</t>
  </si>
  <si>
    <t>Renato de Lima Amorim</t>
  </si>
  <si>
    <t>RAT-26-41</t>
  </si>
  <si>
    <t>Sidnei Souza Machado</t>
  </si>
  <si>
    <t>RAT-26-42</t>
  </si>
  <si>
    <t>https://gacotubo.sharepoint.com/:b:/s/SESMTA/IQAsLXvvd73pSZD5We2L-oflAbxRD1iH-xZnbtOryvAfcV4?e=HeOq7e</t>
  </si>
  <si>
    <t>https://gacotubo.sharepoint.com/:b:/s/SESMTA/IQAJTqruUr34R7TaUw8Zh5ydASWEMgWzfZK6CIR0Qf7EVOA?e=z1iaEp</t>
  </si>
  <si>
    <t>https://gacotubo.sharepoint.com/:b:/s/SESMTA/IQAi1mzb_ki6QJEJ30Rj-RpBATJ3Qr-7xfTUmirr9FPO-6s?e=SJeVQa</t>
  </si>
  <si>
    <t>RAT-26-43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</si>
</sst>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dd/mm/yyyy\,\ ddd"/>
    <numFmt numFmtId="167" formatCode="0.000"/>
  </numFmts>
  <fonts count="8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ptos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1" applyFont="1" applyAlignment="1">
      <alignment horizontal="center"/>
    </xf>
    <xf numFmtId="164" fontId="0" fillId="2" borderId="0" xfId="2" applyNumberFormat="1" applyFont="1" applyFill="1" applyAlignment="1"/>
    <xf numFmtId="0" fontId="0" fillId="3" borderId="0" xfId="0" applyFill="1"/>
    <xf numFmtId="0" fontId="0" fillId="3" borderId="0" xfId="0" applyFill="1" applyAlignment="1">
      <alignment horizontal="center"/>
    </xf>
    <xf numFmtId="14" fontId="0" fillId="3" borderId="0" xfId="0" applyNumberFormat="1" applyFill="1"/>
    <xf numFmtId="0" fontId="4" fillId="0" borderId="0" xfId="1" applyFont="1" applyFill="1" applyAlignment="1">
      <alignment horizontal="center"/>
    </xf>
    <xf numFmtId="164" fontId="0" fillId="4" borderId="0" xfId="2" applyNumberFormat="1" applyFont="1" applyFill="1" applyAlignment="1"/>
    <xf numFmtId="0" fontId="0" fillId="5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14" fontId="0" fillId="0" borderId="0" xfId="0" quotePrefix="1" applyNumberFormat="1"/>
    <xf numFmtId="0" fontId="6" fillId="0" borderId="0" xfId="0" applyFont="1"/>
    <xf numFmtId="20" fontId="0" fillId="0" borderId="0" xfId="0" applyNumberFormat="1"/>
    <xf numFmtId="20" fontId="0" fillId="0" borderId="0" xfId="0" quotePrefix="1" applyNumberFormat="1"/>
    <xf numFmtId="165" fontId="0" fillId="0" borderId="0" xfId="2" applyNumberFormat="1" applyFont="1" applyAlignment="1">
      <alignment horizontal="center"/>
    </xf>
    <xf numFmtId="165" fontId="0" fillId="3" borderId="0" xfId="2" applyNumberFormat="1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6" borderId="0" xfId="0" applyFill="1" applyAlignment="1">
      <alignment horizontal="center" vertical="center"/>
    </xf>
    <xf numFmtId="43" fontId="0" fillId="0" borderId="0" xfId="2" applyFont="1" applyAlignment="1">
      <alignment vertical="center"/>
    </xf>
    <xf numFmtId="165" fontId="0" fillId="0" borderId="0" xfId="2" applyNumberFormat="1" applyFont="1" applyAlignment="1">
      <alignment vertical="center"/>
    </xf>
    <xf numFmtId="165" fontId="0" fillId="6" borderId="0" xfId="2" applyNumberFormat="1" applyFont="1" applyFill="1" applyAlignment="1">
      <alignment vertical="center"/>
    </xf>
    <xf numFmtId="165" fontId="0" fillId="6" borderId="0" xfId="2" applyNumberFormat="1" applyFont="1" applyFill="1" applyAlignment="1">
      <alignment horizontal="center" vertical="center"/>
    </xf>
    <xf numFmtId="3" fontId="4" fillId="0" borderId="0" xfId="1" applyNumberFormat="1" applyFont="1" applyFill="1" applyAlignment="1">
      <alignment horizontal="center"/>
    </xf>
    <xf numFmtId="0" fontId="0" fillId="0" borderId="0" xfId="0" applyAlignment="1">
      <alignment wrapText="1"/>
    </xf>
  </cellXfs>
  <cellStyles count="3">
    <cellStyle name="Hiperlink" xfId="1" builtinId="8"/>
    <cellStyle name="Normal" xfId="0" builtinId="0"/>
    <cellStyle name="Vírgula" xfId="2" builtinId="3"/>
  </cellStyles>
  <dxfs count="5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numFmt numFmtId="165" formatCode="_-* #,##0_-;\-* #,##0_-;_-* &quot;-&quot;??_-;_-@_-"/>
      <fill>
        <patternFill patternType="solid">
          <fgColor indexed="64"/>
          <bgColor theme="0" tint="-0.1499984740745262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numFmt numFmtId="165" formatCode="_-* #,##0_-;\-* #,##0_-;_-* &quot;-&quot;??_-;_-@_-"/>
      <fill>
        <patternFill patternType="solid">
          <fgColor indexed="64"/>
          <bgColor theme="0" tint="-0.14999847407452621"/>
        </patternFill>
      </fill>
      <alignment vertical="center" textRotation="0" wrapText="0" indent="0" justifyLastLine="0" shrinkToFit="0" readingOrder="0"/>
    </dxf>
    <dxf>
      <numFmt numFmtId="165" formatCode="_-* #,##0_-;\-* #,##0_-;_-* &quot;-&quot;??_-;_-@_-"/>
      <alignment vertical="center" textRotation="0" wrapText="0" indent="0" justifyLastLine="0" shrinkToFit="0" readingOrder="0"/>
    </dxf>
    <dxf>
      <numFmt numFmtId="165" formatCode="_-* #,##0_-;\-* #,##0_-;_-* &quot;-&quot;??_-;_-@_-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9" formatCode="dd/mm/yyyy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66" formatCode="dd/mm/yyyy\,\ ddd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* #,##0.0_-;\-* #,##0.0_-;_-* &quot;-&quot;??_-;_-@_-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</dxf>
    <dxf>
      <numFmt numFmtId="19" formatCode="dd/mm/yyyy"/>
    </dxf>
    <dxf>
      <numFmt numFmtId="19" formatCode="dd/mm/yyyy"/>
    </dxf>
    <dxf>
      <numFmt numFmtId="165" formatCode="_-* #,##0_-;\-* #,##0_-;_-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theme="9"/>
        <name val="Arial Black"/>
        <family val="2"/>
        <scheme val="none"/>
      </font>
    </dxf>
    <dxf>
      <fill>
        <patternFill>
          <bgColor theme="1" tint="0.24994659260841701"/>
        </patternFill>
      </fill>
    </dxf>
  </dxfs>
  <tableStyles count="1" defaultTableStyle="TableStyleMedium9" defaultPivotStyle="PivotStyleMedium4">
    <tableStyle name="Estilo de Segmentação de Dados 1" pivot="0" table="0" count="3" xr9:uid="{9A875529-D3E8-4020-87DC-8A8BC308C6DE}">
      <tableStyleElement type="wholeTable" dxfId="55"/>
      <tableStyleElement type="headerRow" dxfId="54"/>
    </tableStyle>
  </tableStyles>
  <colors>
    <mruColors>
      <color rgb="FFFFFFFF"/>
    </mruColors>
  </colors>
  <extLst>
    <ext xmlns:x14="http://schemas.microsoft.com/office/spreadsheetml/2009/9/main" uri="{46F421CA-312F-682f-3DD2-61675219B42D}">
      <x14:dxfs count="1">
        <dxf>
          <font>
            <color theme="0"/>
          </font>
          <fill>
            <patternFill>
              <bgColor theme="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8C927E-B933-49B4-B9F9-EC88C0903BAB}" name="Tabela1" displayName="Tabela1" ref="A1:X287" totalsRowShown="0">
  <autoFilter ref="A1:X287" xr:uid="{298C927E-B933-49B4-B9F9-EC88C0903BAB}"/>
  <sortState xmlns:xlrd2="http://schemas.microsoft.com/office/spreadsheetml/2017/richdata2" ref="B2:X244">
    <sortCondition ref="D1:D244"/>
  </sortState>
  <tableColumns count="24">
    <tableColumn id="19" xr3:uid="{DBE89B3E-71ED-4740-9CDE-559FE88671B8}" name="Link" dataDxfId="53"/>
    <tableColumn id="1" xr3:uid="{8B877C0A-9C94-4CF0-BAE1-CD128D29F6FF}" name="RIM / RAM"/>
    <tableColumn id="2" xr3:uid="{24ED9DD7-2A6F-443C-A602-623F48499A59}" name="RE" dataDxfId="52" dataCellStyle="Vírgula"/>
    <tableColumn id="3" xr3:uid="{D2314C6C-47DF-42E4-80C8-02007DF20499}" name="Data"/>
    <tableColumn id="23" xr3:uid="{0F23A44B-D5F8-4043-B379-A79C3C7F4560}" name="DiaSemana" dataDxfId="51">
      <calculatedColumnFormula>PROPER(TEXT(Tabela1[[#This Row],[Data]],"dddd"))</calculatedColumnFormula>
    </tableColumn>
    <tableColumn id="13" xr3:uid="{D6C9D92E-8DAA-4AA8-8C3B-80ACF00A02A1}" name="Hora" dataDxfId="50"/>
    <tableColumn id="24" xr3:uid="{C589477B-373A-E14E-8CE2-78349462881D}" name="Período" dataDxfId="49">
      <calculatedColumnFormula>IF(Tabela1[[#This Row],[Hora]]="","",IF(HOUR(Tabela1[[#This Row],[Hora]])&lt;6,"Madrugada",IF(HOUR(Tabela1[[#This Row],[Hora]])&lt;12,"Manhã",IF(HOUR(Tabela1[[#This Row],[Hora]])&lt;18,"Tarde","Noite"))))</calculatedColumnFormula>
    </tableColumn>
    <tableColumn id="4" xr3:uid="{8B6510C0-1E6C-4896-8760-D4A6B111FB4E}" name="Colaborador / Equipamento"/>
    <tableColumn id="5" xr3:uid="{AD595C66-DAD1-44D4-9998-EA6B9C3F8A39}" name="CAT?" dataDxfId="48"/>
    <tableColumn id="6" xr3:uid="{C5D6B1DF-A7D7-4505-A215-C9BDE8CC6518}" name="Divisão"/>
    <tableColumn id="7" xr3:uid="{D25903B0-BF95-4FCC-847B-61E328D465DB}" name="Superior Direto"/>
    <tableColumn id="8" xr3:uid="{038BB6B5-AFA0-491A-930E-A373C2240135}" name="Área"/>
    <tableColumn id="9" xr3:uid="{D5433AF5-F070-442C-A2E3-F007DA35B4FB}" name="Cargo / Ocorrência"/>
    <tableColumn id="10" xr3:uid="{7C4EEEAF-9385-4BB7-982C-2962A84E0522}" name="Tipo"/>
    <tableColumn id="11" xr3:uid="{1E4DBEF9-C1AC-447B-8347-485E0E305B8B}" name="Dias Perdidos" dataDxfId="47"/>
    <tableColumn id="12" xr3:uid="{1F7BCB57-2367-45E7-87FF-62D171545D76}" name="Parte Atingida"/>
    <tableColumn id="20" xr3:uid="{15808BE2-4E7E-43D0-9D25-6C704EE56F20}" name="Experiência Anos" dataDxfId="46"/>
    <tableColumn id="21" xr3:uid="{160C2693-5948-4CCA-9CEC-C72023765050}" name="Experiência Meses" dataDxfId="45"/>
    <tableColumn id="22" xr3:uid="{657E2EFB-4C5E-4704-80DE-96871567B25A}" name="Experiência" dataDxfId="44" dataCellStyle="Vírgula">
      <calculatedColumnFormula>Tabela1[[#This Row],[Experiência Anos]]+(Tabela1[[#This Row],[Experiência Meses]]/12)</calculatedColumnFormula>
    </tableColumn>
    <tableColumn id="14" xr3:uid="{408186E7-F765-4722-9F7A-89C68AD0D057}" name="Ato inseguro?" dataDxfId="43"/>
    <tableColumn id="15" xr3:uid="{9EFCF684-7A8D-4029-9F27-2B2F29CC0412}" name="Deficiência de M/E" dataDxfId="42"/>
    <tableColumn id="16" xr3:uid="{1BF636D7-FD9C-4B9B-AF3C-8676D09E36B0}" name="Desvio de Função" dataDxfId="41"/>
    <tableColumn id="17" xr3:uid="{1FDBE478-1F97-43DD-ACD4-F15DAA5B8B80}" name="Havia capacitação?" dataDxfId="40"/>
    <tableColumn id="18" xr3:uid="{EFA62825-CB75-4BBF-A4D7-7F578A5320F0}" name="Utilizava EPI?" dataDxfId="3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58060-2CB6-428A-A30B-74325F0FC642}" name="Tabela2" displayName="Tabela2" ref="A1:K81" totalsRowShown="0" headerRowDxfId="38" dataDxfId="37">
  <tableColumns count="11">
    <tableColumn id="1" xr3:uid="{117AAB96-BF40-4DC7-AF26-B6C6AD51EE8D}" name="RAT" dataDxfId="36"/>
    <tableColumn id="2" xr3:uid="{44037D85-C914-45B5-AB2E-2C616C99F875}" name="Nome" dataDxfId="35"/>
    <tableColumn id="3" xr3:uid="{E7B06D66-4DE8-4619-B034-39D9E63C3DC7}" name="RE" dataDxfId="34" dataCellStyle="Vírgula"/>
    <tableColumn id="4" xr3:uid="{F6B39D52-AA8C-4FBF-AD1B-3881F7D9FE43}" name="Data" dataDxfId="33"/>
    <tableColumn id="5" xr3:uid="{8B7D45DD-C749-43D1-9CAF-15425373DB3C}" name="Divisão" dataDxfId="32"/>
    <tableColumn id="6" xr3:uid="{ED3F773E-1C4D-4506-8161-A0F120D6C71E}" name="Nro. PA" dataDxfId="31"/>
    <tableColumn id="7" xr3:uid="{667A6D0F-9C39-4097-AE93-9CC7A1EB4516}" name="QUEM?" dataDxfId="30"/>
    <tableColumn id="8" xr3:uid="{4830640F-20C1-4BC1-BAB1-1CD2D347CAC9}" name="STATUS" dataDxfId="29"/>
    <tableColumn id="9" xr3:uid="{795598B4-D6FD-4F7B-9F9F-6A909B693C49}" name="AÇÃO?" dataDxfId="28"/>
    <tableColumn id="10" xr3:uid="{5E69BEC5-F8E4-4F64-95B3-C986ECCF0CCE}" name="COMO?" dataDxfId="27"/>
    <tableColumn id="11" xr3:uid="{6F698A43-9420-4723-9121-7A27956BC204}" name="QUANDO?" dataDxfId="26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26211B-8634-4CF1-B4DB-9662ADA67630}" name="Tabela3" displayName="Tabela3" ref="A1:K75" totalsRowShown="0" headerRowDxfId="25" dataDxfId="24">
  <tableColumns count="11">
    <tableColumn id="10" xr3:uid="{72E89949-040E-41E1-A99A-C2D65A301558}" name="Data" dataDxfId="23" dataCellStyle="Vírgula"/>
    <tableColumn id="1" xr3:uid="{C5CF797F-0721-4CE7-937B-374AD5451CF1}" name="Local HH" dataDxfId="22"/>
    <tableColumn id="2" xr3:uid="{CD77A337-7B5E-4F1F-9259-A40F2ECA32EF}" name="Previsto" dataDxfId="21" dataCellStyle="Vírgula"/>
    <tableColumn id="3" xr3:uid="{5C2B3A3A-7479-4FFD-855A-ADDD1B57EA73}" name="Total" dataDxfId="20" dataCellStyle="Vírgula"/>
    <tableColumn id="4" xr3:uid="{E7FBEACB-01E3-40E0-9F69-7956086733DC}" name="HH" dataDxfId="19" dataCellStyle="Vírgula"/>
    <tableColumn id="6" xr3:uid="{2CC5034A-EDE0-4E45-BC02-35A1A95D8F4E}" name="Acidentes" dataDxfId="18" dataCellStyle="Vírgula"/>
    <tableColumn id="7" xr3:uid="{E71181BA-2CD5-4FF8-9839-5E54660BB382}" name="Afastamento" dataDxfId="17" dataCellStyle="Vírgula"/>
    <tableColumn id="8" xr3:uid="{D730F1B8-C8E6-447F-BFD6-7F13D3EEA045}" name="Frequência" dataDxfId="16" dataCellStyle="Vírgula">
      <calculatedColumnFormula>IF(Tabela3[[#This Row],[HH]]&gt;0, (Tabela3[[#This Row],[Acidentes]]*1000000)/Tabela3[[#This Row],[HH]], 0)</calculatedColumnFormula>
    </tableColumn>
    <tableColumn id="5" xr3:uid="{53FA78B3-642F-463F-A9AE-C6B263E3796D}" name="Freq Status" dataDxfId="15" dataCellStyle="Vírgula">
      <calculatedColumnFormula>IF(H2&lt;=20, "MUITO BOA", IF(H2&lt;=40, "BOA", IF(H2&lt;=60, "RUIM", "PÉSSIMA")))</calculatedColumnFormula>
    </tableColumn>
    <tableColumn id="9" xr3:uid="{773D8F60-C4E0-40BD-814E-5609E5CB586C}" name="Gravidade" dataDxfId="14" dataCellStyle="Vírgula">
      <calculatedColumnFormula>IF(Tabela3[[#This Row],[HH]]&gt;0, (Tabela3[[#This Row],[Afastamento]]*1000000)/Tabela3[[#This Row],[HH]], 0)</calculatedColumnFormula>
    </tableColumn>
    <tableColumn id="11" xr3:uid="{391947E1-71E8-4C12-9BE2-A9C9972F9BFA}" name="Grav Status" dataDxfId="13">
      <calculatedColumnFormula>IF(J2&lt;=500, "MUITO BOA", IF(J2&lt;=1000, "BOA", IF(J2&lt;=2000, "RUIM", "PÉSSIMA")))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62EC38-B4F0-485E-AB79-81363A9B3BF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3623042-f3d3-491e-a6ef-4a879e51be3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Ocorr%C3%AAncia%20Indesejada/Gest%C3%A3o%202026/04%20RAT/2026.03.23%20Maicom%20da%20Silva%20Paim/A2026.03.23%20Maicom%20da%20Silva%20Paim.pdf" TargetMode="External"/><Relationship Id="rId18" Type="http://schemas.openxmlformats.org/officeDocument/2006/relationships/hyperlink" Target="../../../Ocorr%C3%AAncia%20Indesejada/Gest%C3%A3o%202026/04%20RAT/2026.05.04%20Rodrigo%20Cesar%20Prebianca/A2026.05.04%20Rodrigo%20Cesar%20Prebianca.pdf" TargetMode="External"/><Relationship Id="rId26" Type="http://schemas.openxmlformats.org/officeDocument/2006/relationships/hyperlink" Target="https://gacotubo.sharepoint.com/:b:/s/SESMTA/IQDZmNPb-ml3SK7ci3dEeK6YAUTQyZPlpyls5uu49Y2yIG8?e=ciRCl2" TargetMode="External"/><Relationship Id="rId3" Type="http://schemas.openxmlformats.org/officeDocument/2006/relationships/hyperlink" Target="../04%20RAT/2026.01.07%20Cosme%20Aparecido%20Bie/A2026.01.07%20Cosme%20Aparecido%20Bie.pdf" TargetMode="External"/><Relationship Id="rId21" Type="http://schemas.openxmlformats.org/officeDocument/2006/relationships/hyperlink" Target="../../../Ocorr%C3%AAncia%20Indesejada/Gest%C3%A3o%202026/04%20RAT/2026.07.02%20Vladimir%20Brito%20Roberto/A2026.07.02%20Vladimir%20Brito%20Roberto.pdf" TargetMode="External"/><Relationship Id="rId7" Type="http://schemas.openxmlformats.org/officeDocument/2006/relationships/hyperlink" Target="../04%20RAT/2026.02.18%20Tiago%20Dos%20Santos%20Silva/A2026.02.18%20Tiago%20Dos%20Santos%20Silva.pdf" TargetMode="External"/><Relationship Id="rId12" Type="http://schemas.openxmlformats.org/officeDocument/2006/relationships/hyperlink" Target="../../../Ocorr%C3%AAncia%20Indesejada/Gest%C3%A3o%202026/04%20RAT/2026.03.24%20Andrigo%20da%20Silva%20Cara%C3%A7a/A2026.03.24%20Andrigo%20da%20Silva%20Cara%C3%A7a.pdf" TargetMode="External"/><Relationship Id="rId17" Type="http://schemas.openxmlformats.org/officeDocument/2006/relationships/hyperlink" Target="../../../Ocorr%C3%AAncia%20Indesejada/Gest%C3%A3o%202026/04%20RAT/2026.04.28%20Robson%20Alves%20de%20Amorim/A2026.04.28%20Robson%20Alves%20de%20Amorim.pdf" TargetMode="External"/><Relationship Id="rId25" Type="http://schemas.openxmlformats.org/officeDocument/2006/relationships/hyperlink" Target="https://gacotubo.sharepoint.com/:b:/s/SESMTA/IQCHjsALu-__T77b9OVWHlJ5AR7gvgbg4xipHegOdfeWOv0?e=fswdaA" TargetMode="External"/><Relationship Id="rId33" Type="http://schemas.openxmlformats.org/officeDocument/2006/relationships/table" Target="../tables/table1.xml"/><Relationship Id="rId2" Type="http://schemas.openxmlformats.org/officeDocument/2006/relationships/hyperlink" Target="../04%20RAT/2026.01.27%20Anderson%20da%20Concei&#231;&#227;o/A2026.01.27%20Anderson%20da%20Concei&#231;&#227;o.pdf" TargetMode="External"/><Relationship Id="rId16" Type="http://schemas.openxmlformats.org/officeDocument/2006/relationships/hyperlink" Target="../../../Ocorr%C3%AAncia%20Indesejada/Gest%C3%A3o%202026/04%20RAT/2026.03.25%20Bruno%20Cantadeiro%20Azevedo/A2026.03.25%20Bruno%20Cantadeiro%20Azevedo.pdf" TargetMode="External"/><Relationship Id="rId20" Type="http://schemas.openxmlformats.org/officeDocument/2006/relationships/hyperlink" Target="../../../Ocorr%C3%AAncia%20Indesejada/Gest%C3%A3o%202026/04%20RAT/2026.05.28%20Olavo%20Junior%20dos%20Santos/A2026.05.28%20Olavo%20Junior%20dos%20Santos.pdf" TargetMode="External"/><Relationship Id="rId29" Type="http://schemas.openxmlformats.org/officeDocument/2006/relationships/hyperlink" Target="https://gacotubo.sharepoint.com/:b:/s/SESMTA/IQAsLXvvd73pSZD5We2L-oflAbxRD1iH-xZnbtOryvAfcV4?e=HeOq7e" TargetMode="External"/><Relationship Id="rId1" Type="http://schemas.openxmlformats.org/officeDocument/2006/relationships/hyperlink" Target="../04%20RAT/2026.01.09%20Helio%20de%20Souza%20Noronha/A2026.01.09%20Helio%20De%20Souza%20Noronha.pdf" TargetMode="External"/><Relationship Id="rId6" Type="http://schemas.openxmlformats.org/officeDocument/2006/relationships/hyperlink" Target="../04%20RAT/2026.02.18%20Edvan%20Nicacio%20Rodrigues/A2026.02.18%20Edvan%20Nicacio%20Rodrigues.pdf" TargetMode="External"/><Relationship Id="rId11" Type="http://schemas.openxmlformats.org/officeDocument/2006/relationships/hyperlink" Target="../../../Ocorr%C3%AAncia%20Indesejada/Gest%C3%A3o%202026/04%20RAT/2026.03.16%20Jeferson%20dos%20Santos%20Medrado%20da%20Silva/A2026.03.16%20Jeferson%20dos%20Santos%20Medrado%20da%20Silva.pdf" TargetMode="External"/><Relationship Id="rId24" Type="http://schemas.openxmlformats.org/officeDocument/2006/relationships/hyperlink" Target="https://gacotubo.sharepoint.com/:b:/s/SESMTA/IQBO-5Cy6CU5S7imXQWlf1oPAbbL3GhivN7ggpc7eaTtKj0?e=hW4kgz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../04%20RAT/2026.02.12%20Reinaldo%20Pereira%20dos%20Santos/A2026.02.12%20Reinaldo%20Pereira%20dos%20Santos.pdf" TargetMode="External"/><Relationship Id="rId15" Type="http://schemas.openxmlformats.org/officeDocument/2006/relationships/hyperlink" Target="../../../Ocorr%C3%AAncia%20Indesejada/Gest%C3%A3o%202026/04%20RAT/2026.03.24%20Samuel%20Gomes%20de%20Melo/A2026.03.24%20Samuel%20Gomes%20de%20Melo.pdf" TargetMode="External"/><Relationship Id="rId23" Type="http://schemas.openxmlformats.org/officeDocument/2006/relationships/hyperlink" Target="https://gacotubo.sharepoint.com/:b:/s/SESMTA/IQAK-miNCnmZQqlLwOAWDnkRAUUtcbuoFLMmoSebYieW_wc?e=8paJcF" TargetMode="External"/><Relationship Id="rId28" Type="http://schemas.openxmlformats.org/officeDocument/2006/relationships/hyperlink" Target="https://gacotubo.sharepoint.com/:b:/s/SESMTA/IQCYUJciWJfdR6CnJBtn1golAZxu2tuSA1yPCSoZt99Oq7U?e=c2ryqo" TargetMode="External"/><Relationship Id="rId10" Type="http://schemas.openxmlformats.org/officeDocument/2006/relationships/hyperlink" Target="../04%20RAT/2026.02.20%20Samuel%20Silva%20de%20Jesus/A2026.02.20%20Samuel%20Silva%20de%20Jesus.pdf" TargetMode="External"/><Relationship Id="rId19" Type="http://schemas.openxmlformats.org/officeDocument/2006/relationships/hyperlink" Target="../../../Ocorr%C3%AAncia%20Indesejada/Gest%C3%A3o%202026/04%20RAT/2026.04.13%20Alexsander%20de%20Oliveira/A2026.04.13%20Alexsander%20de%20Oliveira.pdf" TargetMode="External"/><Relationship Id="rId31" Type="http://schemas.openxmlformats.org/officeDocument/2006/relationships/hyperlink" Target="https://gacotubo.sharepoint.com/:b:/s/SESMTA/IQAi1mzb_ki6QJEJ30Rj-RpBATJ3Qr-7xfTUmirr9FPO-6s?e=SJeVQa" TargetMode="External"/><Relationship Id="rId4" Type="http://schemas.openxmlformats.org/officeDocument/2006/relationships/hyperlink" Target="../04%20RAT/2026.01.06%20Maicom%20da%20Silva%20Paim/A2026.01.06%20Maicom%20da%20Silva%20Paim.pdf" TargetMode="External"/><Relationship Id="rId9" Type="http://schemas.openxmlformats.org/officeDocument/2006/relationships/hyperlink" Target="../04%20RAT/2026.02.20%20Rodrigo%20Custodio%20da%20Silva/A2026.02.20%20Rodrigo%20Custodio%20da%20Silva.pdf" TargetMode="External"/><Relationship Id="rId14" Type="http://schemas.openxmlformats.org/officeDocument/2006/relationships/hyperlink" Target="../../../Ocorr%C3%AAncia%20Indesejada/Gest%C3%A3o%202026/04%20RAT/2026.03.24%20Matheus%20da%20Cunha%20Assun%C3%A7%C3%A3o/A2026.03.24%20Matheus%20da%20Cunha%20Assun%C3%A7%C3%A3o.pdf" TargetMode="External"/><Relationship Id="rId22" Type="http://schemas.openxmlformats.org/officeDocument/2006/relationships/hyperlink" Target="https://gacotubo.sharepoint.com/:b:/s/SESMTA/IQA09lvz5yn7ToTFpIKDckaqAZ1GFys3WGSKXc_LDjTvwIo?e=WuHopx" TargetMode="External"/><Relationship Id="rId27" Type="http://schemas.openxmlformats.org/officeDocument/2006/relationships/hyperlink" Target="https://gacotubo.sharepoint.com/:b:/s/SESMTA/IQCYJKe5Kox-QKmskaIG-zC8AcqAGLkxslF6qPrhhM9iDZM?e=VSdhbs" TargetMode="External"/><Relationship Id="rId30" Type="http://schemas.openxmlformats.org/officeDocument/2006/relationships/hyperlink" Target="https://gacotubo.sharepoint.com/:b:/s/SESMTA/IQAJTqruUr34R7TaUw8Zh5ydASWEMgWzfZK6CIR0Qf7EVOA?e=z1iaEp" TargetMode="External"/><Relationship Id="rId8" Type="http://schemas.openxmlformats.org/officeDocument/2006/relationships/hyperlink" Target="../04%20RAT/2026.02.19%20Regis%20Fernando%20Vieira/A2026.02.19%20Regis%20Fernando%20Vieira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87"/>
  <sheetViews>
    <sheetView showGridLines="0" tabSelected="1" topLeftCell="A266" zoomScale="143" zoomScaleNormal="85" workbookViewId="0">
      <selection activeCell="C280" sqref="C280"/>
    </sheetView>
  </sheetViews>
  <sheetFormatPr baseColWidth="10" defaultColWidth="8.83203125" defaultRowHeight="16"/>
  <cols>
    <col min="1" max="1" width="11.5" style="4" customWidth="1"/>
    <col min="2" max="2" width="10.5" bestFit="1" customWidth="1"/>
    <col min="3" max="3" width="8" bestFit="1" customWidth="1"/>
    <col min="4" max="4" width="10.83203125" bestFit="1" customWidth="1"/>
    <col min="5" max="5" width="13" bestFit="1" customWidth="1"/>
    <col min="6" max="6" width="11" bestFit="1" customWidth="1"/>
    <col min="7" max="7" width="10.5" bestFit="1" customWidth="1"/>
    <col min="8" max="8" width="33.33203125" bestFit="1" customWidth="1"/>
    <col min="9" max="9" width="5.5" bestFit="1" customWidth="1"/>
    <col min="10" max="10" width="15" bestFit="1" customWidth="1"/>
    <col min="11" max="11" width="21.1640625" bestFit="1" customWidth="1"/>
    <col min="12" max="12" width="11.33203125" bestFit="1" customWidth="1"/>
    <col min="13" max="13" width="28.5" bestFit="1" customWidth="1"/>
    <col min="14" max="14" width="8.5" bestFit="1" customWidth="1"/>
    <col min="15" max="15" width="12.33203125" bestFit="1" customWidth="1"/>
    <col min="16" max="16" width="12.83203125" bestFit="1" customWidth="1"/>
    <col min="17" max="17" width="15.33203125" bestFit="1" customWidth="1"/>
    <col min="18" max="18" width="16.6640625" bestFit="1" customWidth="1"/>
    <col min="19" max="19" width="10.83203125" bestFit="1" customWidth="1"/>
    <col min="20" max="20" width="12.5" bestFit="1" customWidth="1"/>
    <col min="21" max="21" width="17" bestFit="1" customWidth="1"/>
    <col min="22" max="22" width="15.6640625" bestFit="1" customWidth="1"/>
    <col min="23" max="23" width="17.1640625" bestFit="1" customWidth="1"/>
    <col min="24" max="24" width="12.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693</v>
      </c>
      <c r="F1" t="s">
        <v>692</v>
      </c>
      <c r="G1" t="s">
        <v>694</v>
      </c>
      <c r="H1" t="s">
        <v>4</v>
      </c>
      <c r="I1" s="2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>
      <c r="A2" s="3"/>
      <c r="B2" t="s">
        <v>21</v>
      </c>
      <c r="C2" s="23">
        <v>7367</v>
      </c>
      <c r="D2" s="1">
        <v>44203</v>
      </c>
      <c r="E2" s="1" t="str">
        <f>PROPER(TEXT(Tabela1[[#This Row],[Data]],"dddd"))</f>
        <v>Quinta-Feira</v>
      </c>
      <c r="F2" s="21">
        <v>0.4375</v>
      </c>
      <c r="G2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" t="s">
        <v>22</v>
      </c>
      <c r="I2" s="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s="2">
        <v>5</v>
      </c>
      <c r="P2" t="s">
        <v>29</v>
      </c>
      <c r="Q2" s="2">
        <v>19</v>
      </c>
      <c r="R2" s="2">
        <v>0</v>
      </c>
      <c r="S2" s="6">
        <f>Tabela1[[#This Row],[Experiência Anos]]+(Tabela1[[#This Row],[Experiência Meses]]/12)</f>
        <v>19</v>
      </c>
      <c r="T2" s="2" t="s">
        <v>30</v>
      </c>
      <c r="U2" s="2" t="s">
        <v>23</v>
      </c>
      <c r="V2" s="2" t="s">
        <v>23</v>
      </c>
      <c r="W2" s="2" t="s">
        <v>30</v>
      </c>
      <c r="X2" s="2" t="s">
        <v>30</v>
      </c>
    </row>
    <row r="3" spans="1:24">
      <c r="A3" s="3"/>
      <c r="B3" t="s">
        <v>31</v>
      </c>
      <c r="C3" s="23">
        <v>10693</v>
      </c>
      <c r="D3" s="1">
        <v>44208</v>
      </c>
      <c r="E3" s="1" t="str">
        <f>PROPER(TEXT(Tabela1[[#This Row],[Data]],"dddd"))</f>
        <v>Terça-Feira</v>
      </c>
      <c r="F3" s="21">
        <v>0.4375</v>
      </c>
      <c r="G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3" t="s">
        <v>32</v>
      </c>
      <c r="I3" s="2" t="s">
        <v>23</v>
      </c>
      <c r="J3" t="s">
        <v>33</v>
      </c>
      <c r="K3" t="s">
        <v>34</v>
      </c>
      <c r="L3" t="s">
        <v>35</v>
      </c>
      <c r="M3" t="s">
        <v>36</v>
      </c>
      <c r="N3" t="s">
        <v>28</v>
      </c>
      <c r="O3" s="2">
        <v>7</v>
      </c>
      <c r="P3" t="s">
        <v>29</v>
      </c>
      <c r="Q3" s="2">
        <v>1</v>
      </c>
      <c r="R3" s="2">
        <v>0</v>
      </c>
      <c r="S3" s="6">
        <f>Tabela1[[#This Row],[Experiência Anos]]+(Tabela1[[#This Row],[Experiência Meses]]/12)</f>
        <v>1</v>
      </c>
      <c r="T3" s="2" t="s">
        <v>23</v>
      </c>
      <c r="U3" s="2" t="s">
        <v>30</v>
      </c>
      <c r="V3" s="2" t="s">
        <v>23</v>
      </c>
      <c r="W3" s="2" t="s">
        <v>30</v>
      </c>
      <c r="X3" s="2" t="s">
        <v>30</v>
      </c>
    </row>
    <row r="4" spans="1:24">
      <c r="A4" s="3"/>
      <c r="B4" t="s">
        <v>37</v>
      </c>
      <c r="C4" s="23">
        <v>10328</v>
      </c>
      <c r="D4" s="1">
        <v>44217</v>
      </c>
      <c r="E4" s="1" t="str">
        <f>PROPER(TEXT(Tabela1[[#This Row],[Data]],"dddd"))</f>
        <v>Quinta-Feira</v>
      </c>
      <c r="F4" s="21">
        <v>0.55208333333333337</v>
      </c>
      <c r="G4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4" t="s">
        <v>38</v>
      </c>
      <c r="I4" s="2" t="s">
        <v>23</v>
      </c>
      <c r="J4" t="s">
        <v>39</v>
      </c>
      <c r="K4" t="s">
        <v>40</v>
      </c>
      <c r="L4" t="s">
        <v>41</v>
      </c>
      <c r="M4" t="s">
        <v>42</v>
      </c>
      <c r="N4" t="s">
        <v>28</v>
      </c>
      <c r="O4" s="2">
        <v>14</v>
      </c>
      <c r="P4" t="s">
        <v>29</v>
      </c>
      <c r="Q4" s="2">
        <v>2</v>
      </c>
      <c r="R4" s="2">
        <v>9</v>
      </c>
      <c r="S4" s="6">
        <f>Tabela1[[#This Row],[Experiência Anos]]+(Tabela1[[#This Row],[Experiência Meses]]/12)</f>
        <v>2.75</v>
      </c>
      <c r="T4" s="2" t="s">
        <v>23</v>
      </c>
      <c r="U4" s="2" t="s">
        <v>30</v>
      </c>
      <c r="V4" s="2" t="s">
        <v>23</v>
      </c>
      <c r="W4" s="2" t="s">
        <v>30</v>
      </c>
      <c r="X4" s="2" t="s">
        <v>30</v>
      </c>
    </row>
    <row r="5" spans="1:24">
      <c r="A5" s="3"/>
      <c r="B5" t="s">
        <v>43</v>
      </c>
      <c r="C5" s="23">
        <v>10915</v>
      </c>
      <c r="D5" s="1">
        <v>44221</v>
      </c>
      <c r="E5" s="1" t="str">
        <f>PROPER(TEXT(Tabela1[[#This Row],[Data]],"dddd"))</f>
        <v>Segunda-Feira</v>
      </c>
      <c r="F5" s="21">
        <v>0.40625</v>
      </c>
      <c r="G5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5" t="s">
        <v>44</v>
      </c>
      <c r="I5" s="2" t="s">
        <v>23</v>
      </c>
      <c r="J5" t="s">
        <v>24</v>
      </c>
      <c r="K5" t="s">
        <v>25</v>
      </c>
      <c r="L5" t="s">
        <v>26</v>
      </c>
      <c r="M5" t="s">
        <v>45</v>
      </c>
      <c r="N5" t="s">
        <v>28</v>
      </c>
      <c r="O5" s="2">
        <v>1</v>
      </c>
      <c r="P5" t="s">
        <v>46</v>
      </c>
      <c r="Q5" s="2">
        <v>0</v>
      </c>
      <c r="R5" s="2">
        <v>1</v>
      </c>
      <c r="S5" s="6">
        <f>Tabela1[[#This Row],[Experiência Anos]]+(Tabela1[[#This Row],[Experiência Meses]]/12)</f>
        <v>8.3333333333333329E-2</v>
      </c>
      <c r="T5" s="2" t="s">
        <v>30</v>
      </c>
      <c r="U5" s="2" t="s">
        <v>23</v>
      </c>
      <c r="V5" s="2" t="s">
        <v>30</v>
      </c>
      <c r="W5" s="2" t="s">
        <v>23</v>
      </c>
      <c r="X5" s="2" t="s">
        <v>30</v>
      </c>
    </row>
    <row r="6" spans="1:24">
      <c r="A6" s="3"/>
      <c r="B6" t="s">
        <v>47</v>
      </c>
      <c r="C6" s="23">
        <v>11001</v>
      </c>
      <c r="D6" s="1">
        <v>44273</v>
      </c>
      <c r="E6" s="1" t="str">
        <f>PROPER(TEXT(Tabela1[[#This Row],[Data]],"dddd"))</f>
        <v>Quinta-Feira</v>
      </c>
      <c r="F6" s="21">
        <v>0.3576388888888889</v>
      </c>
      <c r="G6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6" t="s">
        <v>48</v>
      </c>
      <c r="I6" s="2" t="s">
        <v>23</v>
      </c>
      <c r="J6" t="s">
        <v>49</v>
      </c>
      <c r="K6" t="s">
        <v>50</v>
      </c>
      <c r="L6" t="s">
        <v>51</v>
      </c>
      <c r="M6" t="s">
        <v>45</v>
      </c>
      <c r="N6" t="s">
        <v>28</v>
      </c>
      <c r="O6" s="2">
        <v>15</v>
      </c>
      <c r="P6" t="s">
        <v>29</v>
      </c>
      <c r="Q6" s="2">
        <v>0</v>
      </c>
      <c r="R6" s="2">
        <v>1</v>
      </c>
      <c r="S6" s="6">
        <f>Tabela1[[#This Row],[Experiência Anos]]+(Tabela1[[#This Row],[Experiência Meses]]/12)</f>
        <v>8.3333333333333329E-2</v>
      </c>
      <c r="T6" s="2" t="s">
        <v>30</v>
      </c>
      <c r="U6" s="2" t="s">
        <v>30</v>
      </c>
      <c r="V6" s="2" t="s">
        <v>23</v>
      </c>
      <c r="W6" s="2" t="s">
        <v>30</v>
      </c>
      <c r="X6" s="2" t="s">
        <v>30</v>
      </c>
    </row>
    <row r="7" spans="1:24">
      <c r="A7" s="3"/>
      <c r="B7" t="s">
        <v>52</v>
      </c>
      <c r="C7" s="23">
        <v>10594</v>
      </c>
      <c r="D7" s="1">
        <v>44281</v>
      </c>
      <c r="E7" s="1" t="str">
        <f>PROPER(TEXT(Tabela1[[#This Row],[Data]],"dddd"))</f>
        <v>Sexta-Feira</v>
      </c>
      <c r="F7" s="21">
        <v>0.58680555555555558</v>
      </c>
      <c r="G7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7" t="s">
        <v>53</v>
      </c>
      <c r="I7" s="2" t="s">
        <v>23</v>
      </c>
      <c r="J7" t="s">
        <v>39</v>
      </c>
      <c r="K7" t="s">
        <v>40</v>
      </c>
      <c r="L7" t="s">
        <v>41</v>
      </c>
      <c r="M7" t="s">
        <v>45</v>
      </c>
      <c r="N7" t="s">
        <v>28</v>
      </c>
      <c r="O7" s="2">
        <v>14</v>
      </c>
      <c r="P7" t="s">
        <v>29</v>
      </c>
      <c r="Q7" s="2">
        <v>1</v>
      </c>
      <c r="R7" s="2">
        <v>2</v>
      </c>
      <c r="S7" s="6">
        <f>Tabela1[[#This Row],[Experiência Anos]]+(Tabela1[[#This Row],[Experiência Meses]]/12)</f>
        <v>1.1666666666666667</v>
      </c>
      <c r="T7" s="2" t="s">
        <v>30</v>
      </c>
      <c r="U7" s="2" t="s">
        <v>30</v>
      </c>
      <c r="V7" s="2" t="s">
        <v>30</v>
      </c>
      <c r="W7" s="2" t="s">
        <v>23</v>
      </c>
      <c r="X7" s="2" t="s">
        <v>30</v>
      </c>
    </row>
    <row r="8" spans="1:24">
      <c r="A8" s="3"/>
      <c r="B8" t="s">
        <v>54</v>
      </c>
      <c r="C8" s="23">
        <v>10958</v>
      </c>
      <c r="D8" s="1">
        <v>44295</v>
      </c>
      <c r="E8" s="1" t="str">
        <f>PROPER(TEXT(Tabela1[[#This Row],[Data]],"dddd"))</f>
        <v>Sexta-Feira</v>
      </c>
      <c r="F8" s="21">
        <v>0.66666666666666663</v>
      </c>
      <c r="G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8" t="s">
        <v>55</v>
      </c>
      <c r="I8" s="2" t="s">
        <v>23</v>
      </c>
      <c r="J8" t="s">
        <v>49</v>
      </c>
      <c r="K8" t="s">
        <v>50</v>
      </c>
      <c r="L8" t="s">
        <v>51</v>
      </c>
      <c r="M8" t="s">
        <v>56</v>
      </c>
      <c r="N8" t="s">
        <v>28</v>
      </c>
      <c r="O8" s="2">
        <v>7</v>
      </c>
      <c r="P8" t="s">
        <v>57</v>
      </c>
      <c r="Q8" s="2">
        <v>0</v>
      </c>
      <c r="R8" s="2">
        <v>3</v>
      </c>
      <c r="S8" s="6">
        <f>Tabela1[[#This Row],[Experiência Anos]]+(Tabela1[[#This Row],[Experiência Meses]]/12)</f>
        <v>0.25</v>
      </c>
      <c r="T8" s="2" t="s">
        <v>30</v>
      </c>
      <c r="U8" s="2" t="s">
        <v>23</v>
      </c>
      <c r="V8" s="2" t="s">
        <v>23</v>
      </c>
      <c r="W8" s="2" t="s">
        <v>30</v>
      </c>
      <c r="X8" s="2" t="s">
        <v>30</v>
      </c>
    </row>
    <row r="9" spans="1:24">
      <c r="A9" s="3"/>
      <c r="B9" t="s">
        <v>58</v>
      </c>
      <c r="C9" s="23" t="s">
        <v>59</v>
      </c>
      <c r="D9" s="1">
        <v>44300</v>
      </c>
      <c r="E9" s="1" t="str">
        <f>PROPER(TEXT(Tabela1[[#This Row],[Data]],"dddd"))</f>
        <v>Quarta-Feira</v>
      </c>
      <c r="F9" s="21">
        <v>0.3611111111111111</v>
      </c>
      <c r="G9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9" t="s">
        <v>60</v>
      </c>
      <c r="I9" s="2" t="s">
        <v>23</v>
      </c>
      <c r="J9" t="s">
        <v>39</v>
      </c>
      <c r="K9" t="s">
        <v>40</v>
      </c>
      <c r="L9" t="s">
        <v>41</v>
      </c>
      <c r="M9" t="s">
        <v>45</v>
      </c>
      <c r="N9" t="s">
        <v>28</v>
      </c>
      <c r="O9" s="2">
        <v>1</v>
      </c>
      <c r="P9" t="s">
        <v>29</v>
      </c>
      <c r="Q9" s="2">
        <v>0</v>
      </c>
      <c r="R9" s="2">
        <v>0</v>
      </c>
      <c r="S9" s="6">
        <f>Tabela1[[#This Row],[Experiência Anos]]+(Tabela1[[#This Row],[Experiência Meses]]/12)</f>
        <v>0</v>
      </c>
      <c r="T9" s="2" t="s">
        <v>30</v>
      </c>
      <c r="U9" s="2" t="s">
        <v>30</v>
      </c>
      <c r="V9" s="2" t="s">
        <v>23</v>
      </c>
      <c r="W9" s="2" t="s">
        <v>30</v>
      </c>
      <c r="X9" s="2" t="s">
        <v>30</v>
      </c>
    </row>
    <row r="10" spans="1:24">
      <c r="A10" s="3"/>
      <c r="B10" t="s">
        <v>61</v>
      </c>
      <c r="C10" s="23">
        <v>10867</v>
      </c>
      <c r="D10" s="1">
        <v>44306</v>
      </c>
      <c r="E10" s="1" t="str">
        <f>PROPER(TEXT(Tabela1[[#This Row],[Data]],"dddd"))</f>
        <v>Terça-Feira</v>
      </c>
      <c r="F10" s="21">
        <v>0.84027777777777779</v>
      </c>
      <c r="G10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10" t="s">
        <v>62</v>
      </c>
      <c r="I10" s="2" t="s">
        <v>23</v>
      </c>
      <c r="J10" t="s">
        <v>49</v>
      </c>
      <c r="K10" t="s">
        <v>50</v>
      </c>
      <c r="L10" t="s">
        <v>51</v>
      </c>
      <c r="M10" t="s">
        <v>45</v>
      </c>
      <c r="N10" t="s">
        <v>28</v>
      </c>
      <c r="O10" s="2">
        <v>10</v>
      </c>
      <c r="P10" t="s">
        <v>46</v>
      </c>
      <c r="Q10" s="2">
        <v>0</v>
      </c>
      <c r="R10" s="2">
        <v>10</v>
      </c>
      <c r="S10" s="6">
        <f>Tabela1[[#This Row],[Experiência Anos]]+(Tabela1[[#This Row],[Experiência Meses]]/12)</f>
        <v>0.83333333333333337</v>
      </c>
      <c r="T10" s="2" t="s">
        <v>30</v>
      </c>
      <c r="U10" s="2" t="s">
        <v>23</v>
      </c>
      <c r="V10" s="2" t="s">
        <v>23</v>
      </c>
      <c r="W10" s="2" t="s">
        <v>30</v>
      </c>
      <c r="X10" s="2" t="s">
        <v>30</v>
      </c>
    </row>
    <row r="11" spans="1:24">
      <c r="A11" s="3"/>
      <c r="B11" t="s">
        <v>63</v>
      </c>
      <c r="C11" s="23">
        <v>8124</v>
      </c>
      <c r="D11" s="1">
        <v>44314</v>
      </c>
      <c r="E11" s="1" t="str">
        <f>PROPER(TEXT(Tabela1[[#This Row],[Data]],"dddd"))</f>
        <v>Quarta-Feira</v>
      </c>
      <c r="F11" s="21">
        <v>0.625</v>
      </c>
      <c r="G1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1" t="s">
        <v>64</v>
      </c>
      <c r="I11" s="2" t="s">
        <v>30</v>
      </c>
      <c r="J11" t="s">
        <v>39</v>
      </c>
      <c r="K11" t="s">
        <v>40</v>
      </c>
      <c r="L11" t="s">
        <v>41</v>
      </c>
      <c r="M11" t="s">
        <v>65</v>
      </c>
      <c r="N11" t="s">
        <v>28</v>
      </c>
      <c r="O11" s="2">
        <v>14</v>
      </c>
      <c r="P11" t="s">
        <v>29</v>
      </c>
      <c r="Q11" s="2">
        <v>10</v>
      </c>
      <c r="R11" s="2">
        <v>0</v>
      </c>
      <c r="S11" s="6">
        <f>Tabela1[[#This Row],[Experiência Anos]]+(Tabela1[[#This Row],[Experiência Meses]]/12)</f>
        <v>10</v>
      </c>
      <c r="T11" s="2" t="s">
        <v>23</v>
      </c>
      <c r="U11" s="2" t="s">
        <v>30</v>
      </c>
      <c r="V11" s="2" t="s">
        <v>23</v>
      </c>
      <c r="W11" s="2" t="s">
        <v>23</v>
      </c>
      <c r="X11" s="2" t="s">
        <v>30</v>
      </c>
    </row>
    <row r="12" spans="1:24">
      <c r="A12" s="3"/>
      <c r="B12" t="s">
        <v>66</v>
      </c>
      <c r="C12" s="23">
        <v>10198</v>
      </c>
      <c r="D12" s="1">
        <v>44315</v>
      </c>
      <c r="E12" s="1" t="str">
        <f>PROPER(TEXT(Tabela1[[#This Row],[Data]],"dddd"))</f>
        <v>Quinta-Feira</v>
      </c>
      <c r="F12" s="21">
        <v>0.55555555555555558</v>
      </c>
      <c r="G1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2" t="s">
        <v>67</v>
      </c>
      <c r="I12" s="2" t="s">
        <v>23</v>
      </c>
      <c r="J12" t="s">
        <v>24</v>
      </c>
      <c r="K12" t="s">
        <v>25</v>
      </c>
      <c r="L12" t="s">
        <v>26</v>
      </c>
      <c r="M12" t="s">
        <v>45</v>
      </c>
      <c r="N12" t="s">
        <v>28</v>
      </c>
      <c r="O12" s="2">
        <v>15</v>
      </c>
      <c r="P12" t="s">
        <v>29</v>
      </c>
      <c r="Q12" s="2">
        <v>3</v>
      </c>
      <c r="R12" s="2">
        <v>0</v>
      </c>
      <c r="S12" s="6">
        <f>Tabela1[[#This Row],[Experiência Anos]]+(Tabela1[[#This Row],[Experiência Meses]]/12)</f>
        <v>3</v>
      </c>
      <c r="T12" s="2" t="s">
        <v>23</v>
      </c>
      <c r="U12" s="2" t="s">
        <v>30</v>
      </c>
      <c r="V12" s="2" t="s">
        <v>30</v>
      </c>
      <c r="W12" s="2" t="s">
        <v>23</v>
      </c>
      <c r="X12" s="2" t="s">
        <v>30</v>
      </c>
    </row>
    <row r="13" spans="1:24">
      <c r="A13" s="3"/>
      <c r="B13" t="s">
        <v>68</v>
      </c>
      <c r="C13" s="23">
        <v>10374</v>
      </c>
      <c r="D13" s="1">
        <v>44321</v>
      </c>
      <c r="E13" s="1" t="str">
        <f>PROPER(TEXT(Tabela1[[#This Row],[Data]],"dddd"))</f>
        <v>Quarta-Feira</v>
      </c>
      <c r="F13" s="21">
        <v>0.70833333333333337</v>
      </c>
      <c r="G13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3" t="s">
        <v>69</v>
      </c>
      <c r="I13" s="2" t="s">
        <v>30</v>
      </c>
      <c r="J13" t="s">
        <v>39</v>
      </c>
      <c r="K13" t="s">
        <v>40</v>
      </c>
      <c r="L13" t="s">
        <v>41</v>
      </c>
      <c r="M13" t="s">
        <v>42</v>
      </c>
      <c r="N13" t="s">
        <v>28</v>
      </c>
      <c r="O13" s="2">
        <v>15</v>
      </c>
      <c r="P13" t="s">
        <v>70</v>
      </c>
      <c r="Q13" s="2">
        <v>3</v>
      </c>
      <c r="R13" s="2">
        <v>10</v>
      </c>
      <c r="S13" s="6">
        <f>Tabela1[[#This Row],[Experiência Anos]]+(Tabela1[[#This Row],[Experiência Meses]]/12)</f>
        <v>3.8333333333333335</v>
      </c>
      <c r="T13" s="2" t="s">
        <v>30</v>
      </c>
      <c r="U13" s="2" t="s">
        <v>30</v>
      </c>
      <c r="V13" s="2" t="s">
        <v>23</v>
      </c>
      <c r="W13" s="2" t="s">
        <v>23</v>
      </c>
      <c r="X13" s="2" t="s">
        <v>30</v>
      </c>
    </row>
    <row r="14" spans="1:24">
      <c r="A14" s="3"/>
      <c r="B14" t="s">
        <v>71</v>
      </c>
      <c r="C14" s="23">
        <v>11007</v>
      </c>
      <c r="D14" s="1">
        <v>44327</v>
      </c>
      <c r="E14" s="1" t="str">
        <f>PROPER(TEXT(Tabela1[[#This Row],[Data]],"dddd"))</f>
        <v>Terça-Feira</v>
      </c>
      <c r="F14" s="21">
        <v>0.56805555555555554</v>
      </c>
      <c r="G14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4" t="s">
        <v>72</v>
      </c>
      <c r="I14" s="2" t="s">
        <v>30</v>
      </c>
      <c r="J14" t="s">
        <v>49</v>
      </c>
      <c r="K14" t="s">
        <v>50</v>
      </c>
      <c r="L14" t="s">
        <v>51</v>
      </c>
      <c r="M14" t="s">
        <v>45</v>
      </c>
      <c r="N14" t="s">
        <v>28</v>
      </c>
      <c r="O14" s="2">
        <v>15</v>
      </c>
      <c r="P14" t="s">
        <v>29</v>
      </c>
      <c r="Q14" s="2">
        <v>0</v>
      </c>
      <c r="R14" s="2">
        <v>3</v>
      </c>
      <c r="S14" s="6">
        <f>Tabela1[[#This Row],[Experiência Anos]]+(Tabela1[[#This Row],[Experiência Meses]]/12)</f>
        <v>0.25</v>
      </c>
      <c r="T14" s="2" t="s">
        <v>30</v>
      </c>
      <c r="U14" s="2" t="s">
        <v>23</v>
      </c>
      <c r="V14" s="2" t="s">
        <v>23</v>
      </c>
      <c r="W14" s="2" t="s">
        <v>30</v>
      </c>
      <c r="X14" s="2" t="s">
        <v>30</v>
      </c>
    </row>
    <row r="15" spans="1:24">
      <c r="A15" s="3"/>
      <c r="B15" t="s">
        <v>73</v>
      </c>
      <c r="C15" s="23">
        <v>10738</v>
      </c>
      <c r="D15" s="1">
        <v>44363</v>
      </c>
      <c r="E15" s="1" t="str">
        <f>PROPER(TEXT(Tabela1[[#This Row],[Data]],"dddd"))</f>
        <v>Quarta-Feira</v>
      </c>
      <c r="F15" s="21">
        <v>0.25</v>
      </c>
      <c r="G15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5" t="s">
        <v>74</v>
      </c>
      <c r="I15" s="2" t="s">
        <v>23</v>
      </c>
      <c r="J15" t="s">
        <v>49</v>
      </c>
      <c r="K15" t="s">
        <v>75</v>
      </c>
      <c r="L15" t="s">
        <v>76</v>
      </c>
      <c r="M15" t="s">
        <v>77</v>
      </c>
      <c r="N15" t="s">
        <v>28</v>
      </c>
      <c r="O15" s="2">
        <v>15</v>
      </c>
      <c r="P15" t="s">
        <v>78</v>
      </c>
      <c r="Q15" s="2">
        <v>1</v>
      </c>
      <c r="R15" s="2">
        <v>4</v>
      </c>
      <c r="S15" s="6">
        <f>Tabela1[[#This Row],[Experiência Anos]]+(Tabela1[[#This Row],[Experiência Meses]]/12)</f>
        <v>1.3333333333333333</v>
      </c>
      <c r="T15" s="2" t="s">
        <v>30</v>
      </c>
      <c r="U15" s="2" t="s">
        <v>23</v>
      </c>
      <c r="V15" s="2" t="s">
        <v>23</v>
      </c>
      <c r="W15" s="2" t="s">
        <v>30</v>
      </c>
      <c r="X15" s="2" t="s">
        <v>30</v>
      </c>
    </row>
    <row r="16" spans="1:24">
      <c r="A16" s="3"/>
      <c r="B16" t="s">
        <v>79</v>
      </c>
      <c r="C16" s="23">
        <v>9796</v>
      </c>
      <c r="D16" s="1">
        <v>44370</v>
      </c>
      <c r="E16" s="1" t="str">
        <f>PROPER(TEXT(Tabela1[[#This Row],[Data]],"dddd"))</f>
        <v>Quarta-Feira</v>
      </c>
      <c r="F16" s="21">
        <v>0.33194444444444443</v>
      </c>
      <c r="G16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6" t="s">
        <v>80</v>
      </c>
      <c r="I16" s="2" t="s">
        <v>23</v>
      </c>
      <c r="J16" t="s">
        <v>49</v>
      </c>
      <c r="K16" t="s">
        <v>75</v>
      </c>
      <c r="L16" t="s">
        <v>76</v>
      </c>
      <c r="M16" t="s">
        <v>77</v>
      </c>
      <c r="N16" t="s">
        <v>28</v>
      </c>
      <c r="O16" s="2">
        <v>14</v>
      </c>
      <c r="P16" t="s">
        <v>29</v>
      </c>
      <c r="Q16" s="2">
        <v>6</v>
      </c>
      <c r="R16" s="2">
        <v>0</v>
      </c>
      <c r="S16" s="6">
        <f>Tabela1[[#This Row],[Experiência Anos]]+(Tabela1[[#This Row],[Experiência Meses]]/12)</f>
        <v>6</v>
      </c>
      <c r="T16" s="2" t="s">
        <v>23</v>
      </c>
      <c r="U16" s="2" t="s">
        <v>30</v>
      </c>
      <c r="V16" s="2" t="s">
        <v>23</v>
      </c>
      <c r="W16" s="2" t="s">
        <v>30</v>
      </c>
      <c r="X16" s="2" t="s">
        <v>30</v>
      </c>
    </row>
    <row r="17" spans="1:24">
      <c r="A17" s="3"/>
      <c r="B17" t="s">
        <v>81</v>
      </c>
      <c r="C17" s="23">
        <v>7367</v>
      </c>
      <c r="D17" s="1">
        <v>44370</v>
      </c>
      <c r="E17" s="1" t="str">
        <f>PROPER(TEXT(Tabela1[[#This Row],[Data]],"dddd"))</f>
        <v>Quarta-Feira</v>
      </c>
      <c r="F17" s="21">
        <v>0.59305555555555556</v>
      </c>
      <c r="G17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7" t="s">
        <v>22</v>
      </c>
      <c r="I17" s="2" t="s">
        <v>30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s="2">
        <v>15</v>
      </c>
      <c r="P17" t="s">
        <v>29</v>
      </c>
      <c r="Q17" s="2">
        <v>19</v>
      </c>
      <c r="R17" s="2">
        <v>0</v>
      </c>
      <c r="S17" s="6">
        <f>Tabela1[[#This Row],[Experiência Anos]]+(Tabela1[[#This Row],[Experiência Meses]]/12)</f>
        <v>19</v>
      </c>
      <c r="T17" s="2" t="s">
        <v>30</v>
      </c>
      <c r="U17" s="2" t="s">
        <v>23</v>
      </c>
      <c r="V17" s="2" t="s">
        <v>23</v>
      </c>
      <c r="W17" s="2" t="s">
        <v>30</v>
      </c>
      <c r="X17" s="2" t="s">
        <v>30</v>
      </c>
    </row>
    <row r="18" spans="1:24">
      <c r="A18" s="3"/>
      <c r="B18" t="s">
        <v>82</v>
      </c>
      <c r="C18" s="23">
        <v>10630</v>
      </c>
      <c r="D18" s="1">
        <v>44371</v>
      </c>
      <c r="E18" s="1" t="str">
        <f>PROPER(TEXT(Tabela1[[#This Row],[Data]],"dddd"))</f>
        <v>Quinta-Feira</v>
      </c>
      <c r="F18" s="21">
        <v>0.64583333333333337</v>
      </c>
      <c r="G1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8" t="s">
        <v>83</v>
      </c>
      <c r="I18" s="2" t="s">
        <v>23</v>
      </c>
      <c r="J18" t="s">
        <v>24</v>
      </c>
      <c r="K18" t="s">
        <v>25</v>
      </c>
      <c r="L18" t="s">
        <v>26</v>
      </c>
      <c r="M18" t="s">
        <v>45</v>
      </c>
      <c r="N18" t="s">
        <v>28</v>
      </c>
      <c r="O18" s="2">
        <v>2</v>
      </c>
      <c r="P18" t="s">
        <v>84</v>
      </c>
      <c r="Q18" s="2">
        <v>0</v>
      </c>
      <c r="R18" s="2">
        <v>10</v>
      </c>
      <c r="S18" s="6">
        <f>Tabela1[[#This Row],[Experiência Anos]]+(Tabela1[[#This Row],[Experiência Meses]]/12)</f>
        <v>0.83333333333333337</v>
      </c>
      <c r="T18" s="2" t="s">
        <v>30</v>
      </c>
      <c r="U18" s="2" t="s">
        <v>23</v>
      </c>
      <c r="V18" s="2" t="s">
        <v>30</v>
      </c>
      <c r="W18" s="2" t="s">
        <v>23</v>
      </c>
      <c r="X18" s="2" t="s">
        <v>30</v>
      </c>
    </row>
    <row r="19" spans="1:24">
      <c r="A19" s="3"/>
      <c r="B19" t="s">
        <v>85</v>
      </c>
      <c r="C19" s="23">
        <v>10274</v>
      </c>
      <c r="D19" s="1">
        <v>44396</v>
      </c>
      <c r="E19" s="1" t="str">
        <f>PROPER(TEXT(Tabela1[[#This Row],[Data]],"dddd"))</f>
        <v>Segunda-Feira</v>
      </c>
      <c r="F19" s="21">
        <v>0.59722222222222221</v>
      </c>
      <c r="G19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9" t="s">
        <v>86</v>
      </c>
      <c r="I19" s="2" t="s">
        <v>23</v>
      </c>
      <c r="J19" t="s">
        <v>49</v>
      </c>
      <c r="K19" t="s">
        <v>50</v>
      </c>
      <c r="L19" t="s">
        <v>51</v>
      </c>
      <c r="M19" t="s">
        <v>56</v>
      </c>
      <c r="N19" t="s">
        <v>28</v>
      </c>
      <c r="O19" s="2">
        <v>5</v>
      </c>
      <c r="P19" t="s">
        <v>87</v>
      </c>
      <c r="Q19" s="2">
        <v>3</v>
      </c>
      <c r="R19" s="2">
        <v>7</v>
      </c>
      <c r="S19" s="6">
        <f>Tabela1[[#This Row],[Experiência Anos]]+(Tabela1[[#This Row],[Experiência Meses]]/12)</f>
        <v>3.5833333333333335</v>
      </c>
      <c r="T19" s="2" t="s">
        <v>30</v>
      </c>
      <c r="U19" s="2" t="s">
        <v>23</v>
      </c>
      <c r="V19" s="2" t="s">
        <v>23</v>
      </c>
      <c r="W19" s="2" t="s">
        <v>30</v>
      </c>
      <c r="X19" s="2" t="s">
        <v>30</v>
      </c>
    </row>
    <row r="20" spans="1:24">
      <c r="A20" s="3"/>
      <c r="B20" t="s">
        <v>88</v>
      </c>
      <c r="C20" s="23">
        <v>8570</v>
      </c>
      <c r="D20" s="1">
        <v>44398</v>
      </c>
      <c r="E20" s="1" t="str">
        <f>PROPER(TEXT(Tabela1[[#This Row],[Data]],"dddd"))</f>
        <v>Quarta-Feira</v>
      </c>
      <c r="F20" s="21">
        <v>0.39374999999999999</v>
      </c>
      <c r="G20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0" t="s">
        <v>89</v>
      </c>
      <c r="I20" s="2" t="s">
        <v>23</v>
      </c>
      <c r="J20" t="s">
        <v>49</v>
      </c>
      <c r="K20" t="s">
        <v>50</v>
      </c>
      <c r="L20" t="s">
        <v>51</v>
      </c>
      <c r="M20" t="s">
        <v>27</v>
      </c>
      <c r="N20" t="s">
        <v>28</v>
      </c>
      <c r="O20" s="2">
        <v>10</v>
      </c>
      <c r="P20" t="s">
        <v>29</v>
      </c>
      <c r="Q20" s="2">
        <v>9</v>
      </c>
      <c r="R20" s="2">
        <v>7</v>
      </c>
      <c r="S20" s="6">
        <f>Tabela1[[#This Row],[Experiência Anos]]+(Tabela1[[#This Row],[Experiência Meses]]/12)</f>
        <v>9.5833333333333339</v>
      </c>
      <c r="T20" s="2" t="s">
        <v>30</v>
      </c>
      <c r="U20" s="2" t="s">
        <v>23</v>
      </c>
      <c r="V20" s="2" t="s">
        <v>23</v>
      </c>
      <c r="W20" s="2" t="s">
        <v>30</v>
      </c>
      <c r="X20" s="2" t="s">
        <v>30</v>
      </c>
    </row>
    <row r="21" spans="1:24">
      <c r="A21" s="3"/>
      <c r="B21" t="s">
        <v>90</v>
      </c>
      <c r="C21" s="23">
        <v>10919</v>
      </c>
      <c r="D21" s="1">
        <v>44399</v>
      </c>
      <c r="E21" s="1" t="str">
        <f>PROPER(TEXT(Tabela1[[#This Row],[Data]],"dddd"))</f>
        <v>Quinta-Feira</v>
      </c>
      <c r="F21" s="21">
        <v>0.33541666666666664</v>
      </c>
      <c r="G21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1" t="s">
        <v>91</v>
      </c>
      <c r="I21" s="2" t="s">
        <v>23</v>
      </c>
      <c r="J21" t="s">
        <v>24</v>
      </c>
      <c r="K21" t="s">
        <v>25</v>
      </c>
      <c r="L21" t="s">
        <v>26</v>
      </c>
      <c r="M21" t="s">
        <v>45</v>
      </c>
      <c r="N21" t="s">
        <v>28</v>
      </c>
      <c r="O21" s="2">
        <v>14</v>
      </c>
      <c r="P21" t="s">
        <v>29</v>
      </c>
      <c r="Q21" s="2">
        <v>0</v>
      </c>
      <c r="R21" s="2">
        <v>8</v>
      </c>
      <c r="S21" s="6">
        <f>Tabela1[[#This Row],[Experiência Anos]]+(Tabela1[[#This Row],[Experiência Meses]]/12)</f>
        <v>0.66666666666666663</v>
      </c>
      <c r="T21" s="2" t="s">
        <v>23</v>
      </c>
      <c r="U21" s="2" t="s">
        <v>30</v>
      </c>
      <c r="V21" s="2" t="s">
        <v>30</v>
      </c>
      <c r="W21" s="2" t="s">
        <v>23</v>
      </c>
      <c r="X21" s="2" t="s">
        <v>30</v>
      </c>
    </row>
    <row r="22" spans="1:24">
      <c r="A22" s="3"/>
      <c r="B22" t="s">
        <v>92</v>
      </c>
      <c r="C22" s="23">
        <v>10638</v>
      </c>
      <c r="D22" s="1">
        <v>44404</v>
      </c>
      <c r="E22" s="1" t="str">
        <f>PROPER(TEXT(Tabela1[[#This Row],[Data]],"dddd"))</f>
        <v>Terça-Feira</v>
      </c>
      <c r="F22" s="21">
        <v>0.52430555555555558</v>
      </c>
      <c r="G2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2" t="s">
        <v>93</v>
      </c>
      <c r="I22" s="2" t="s">
        <v>23</v>
      </c>
      <c r="J22" t="s">
        <v>49</v>
      </c>
      <c r="K22" t="s">
        <v>75</v>
      </c>
      <c r="L22" t="s">
        <v>76</v>
      </c>
      <c r="M22" t="s">
        <v>94</v>
      </c>
      <c r="N22" t="s">
        <v>28</v>
      </c>
      <c r="O22" s="2">
        <v>8</v>
      </c>
      <c r="P22" t="s">
        <v>87</v>
      </c>
      <c r="Q22" s="2">
        <v>1</v>
      </c>
      <c r="R22" s="2">
        <v>11</v>
      </c>
      <c r="S22" s="6">
        <f>Tabela1[[#This Row],[Experiência Anos]]+(Tabela1[[#This Row],[Experiência Meses]]/12)</f>
        <v>1.9166666666666665</v>
      </c>
      <c r="T22" s="2" t="s">
        <v>30</v>
      </c>
      <c r="U22" s="2" t="s">
        <v>23</v>
      </c>
      <c r="V22" s="2" t="s">
        <v>23</v>
      </c>
      <c r="W22" s="2" t="s">
        <v>30</v>
      </c>
      <c r="X22" s="2" t="s">
        <v>30</v>
      </c>
    </row>
    <row r="23" spans="1:24">
      <c r="A23" s="3"/>
      <c r="B23" t="s">
        <v>95</v>
      </c>
      <c r="C23" s="23">
        <v>10727</v>
      </c>
      <c r="D23" s="1">
        <v>44407</v>
      </c>
      <c r="E23" s="1" t="str">
        <f>PROPER(TEXT(Tabela1[[#This Row],[Data]],"dddd"))</f>
        <v>Sexta-Feira</v>
      </c>
      <c r="F23" s="21">
        <v>0.57986111111111116</v>
      </c>
      <c r="G23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3" t="s">
        <v>96</v>
      </c>
      <c r="I23" s="2" t="s">
        <v>23</v>
      </c>
      <c r="J23" t="s">
        <v>24</v>
      </c>
      <c r="K23" t="s">
        <v>25</v>
      </c>
      <c r="L23" t="s">
        <v>26</v>
      </c>
      <c r="M23" t="s">
        <v>45</v>
      </c>
      <c r="N23" t="s">
        <v>28</v>
      </c>
      <c r="O23" s="2">
        <v>4</v>
      </c>
      <c r="P23" t="s">
        <v>97</v>
      </c>
      <c r="Q23" s="2">
        <v>1</v>
      </c>
      <c r="R23" s="2">
        <v>6</v>
      </c>
      <c r="S23" s="6">
        <f>Tabela1[[#This Row],[Experiência Anos]]+(Tabela1[[#This Row],[Experiência Meses]]/12)</f>
        <v>1.5</v>
      </c>
      <c r="T23" s="2" t="s">
        <v>23</v>
      </c>
      <c r="U23" s="2" t="s">
        <v>30</v>
      </c>
      <c r="V23" s="2" t="s">
        <v>23</v>
      </c>
      <c r="W23" s="2" t="s">
        <v>23</v>
      </c>
      <c r="X23" s="2" t="s">
        <v>30</v>
      </c>
    </row>
    <row r="24" spans="1:24">
      <c r="A24" s="3"/>
      <c r="B24" t="s">
        <v>98</v>
      </c>
      <c r="C24" s="23">
        <v>9528</v>
      </c>
      <c r="D24" s="1">
        <v>44407</v>
      </c>
      <c r="E24" s="1" t="str">
        <f>PROPER(TEXT(Tabela1[[#This Row],[Data]],"dddd"))</f>
        <v>Sexta-Feira</v>
      </c>
      <c r="F24" s="21">
        <v>0.75</v>
      </c>
      <c r="G24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4" t="s">
        <v>99</v>
      </c>
      <c r="I24" s="2" t="s">
        <v>30</v>
      </c>
      <c r="J24" t="s">
        <v>24</v>
      </c>
      <c r="K24" t="s">
        <v>25</v>
      </c>
      <c r="L24" t="s">
        <v>26</v>
      </c>
      <c r="M24" t="s">
        <v>100</v>
      </c>
      <c r="N24" t="s">
        <v>101</v>
      </c>
      <c r="O24" s="2">
        <v>15</v>
      </c>
      <c r="P24" t="s">
        <v>46</v>
      </c>
      <c r="Q24" s="2">
        <v>7</v>
      </c>
      <c r="R24" s="2">
        <v>0</v>
      </c>
      <c r="S24" s="6">
        <f>Tabela1[[#This Row],[Experiência Anos]]+(Tabela1[[#This Row],[Experiência Meses]]/12)</f>
        <v>7</v>
      </c>
      <c r="T24" s="2" t="s">
        <v>23</v>
      </c>
      <c r="U24" s="2" t="s">
        <v>23</v>
      </c>
      <c r="V24" s="2" t="s">
        <v>23</v>
      </c>
      <c r="W24" s="2" t="s">
        <v>30</v>
      </c>
      <c r="X24" s="2" t="s">
        <v>30</v>
      </c>
    </row>
    <row r="25" spans="1:24">
      <c r="A25" s="3"/>
      <c r="B25" t="s">
        <v>102</v>
      </c>
      <c r="C25" s="23" t="s">
        <v>103</v>
      </c>
      <c r="D25" s="1">
        <v>44413</v>
      </c>
      <c r="E25" s="1" t="str">
        <f>PROPER(TEXT(Tabela1[[#This Row],[Data]],"dddd"))</f>
        <v>Quinta-Feira</v>
      </c>
      <c r="F25" s="21">
        <v>0.43055555555555558</v>
      </c>
      <c r="G25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5" t="s">
        <v>104</v>
      </c>
      <c r="I25" s="2" t="s">
        <v>23</v>
      </c>
      <c r="J25" t="s">
        <v>39</v>
      </c>
      <c r="K25" t="s">
        <v>40</v>
      </c>
      <c r="L25" t="s">
        <v>41</v>
      </c>
      <c r="M25" t="s">
        <v>45</v>
      </c>
      <c r="N25" t="s">
        <v>28</v>
      </c>
      <c r="O25" s="2">
        <v>1</v>
      </c>
      <c r="P25" t="s">
        <v>29</v>
      </c>
      <c r="Q25" s="2">
        <v>0</v>
      </c>
      <c r="R25" s="2">
        <v>4</v>
      </c>
      <c r="S25" s="6">
        <f>Tabela1[[#This Row],[Experiência Anos]]+(Tabela1[[#This Row],[Experiência Meses]]/12)</f>
        <v>0.33333333333333331</v>
      </c>
      <c r="T25" s="2" t="s">
        <v>30</v>
      </c>
      <c r="U25" s="2" t="s">
        <v>30</v>
      </c>
      <c r="V25" s="2" t="s">
        <v>23</v>
      </c>
      <c r="W25" s="2" t="s">
        <v>30</v>
      </c>
      <c r="X25" s="2" t="s">
        <v>30</v>
      </c>
    </row>
    <row r="26" spans="1:24">
      <c r="A26" s="3"/>
      <c r="B26" t="s">
        <v>105</v>
      </c>
      <c r="C26" s="23">
        <v>10198</v>
      </c>
      <c r="D26" s="1">
        <v>44417</v>
      </c>
      <c r="E26" s="1" t="str">
        <f>PROPER(TEXT(Tabela1[[#This Row],[Data]],"dddd"))</f>
        <v>Segunda-Feira</v>
      </c>
      <c r="F26" s="21">
        <v>0.55972222222222223</v>
      </c>
      <c r="G2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6" t="s">
        <v>67</v>
      </c>
      <c r="I26" s="2" t="s">
        <v>23</v>
      </c>
      <c r="J26" t="s">
        <v>24</v>
      </c>
      <c r="K26" t="s">
        <v>25</v>
      </c>
      <c r="L26" t="s">
        <v>26</v>
      </c>
      <c r="M26" t="s">
        <v>45</v>
      </c>
      <c r="N26" t="s">
        <v>28</v>
      </c>
      <c r="O26" s="2">
        <v>15</v>
      </c>
      <c r="P26" t="s">
        <v>87</v>
      </c>
      <c r="Q26" s="2">
        <v>4</v>
      </c>
      <c r="R26" s="2">
        <v>0</v>
      </c>
      <c r="S26" s="6">
        <f>Tabela1[[#This Row],[Experiência Anos]]+(Tabela1[[#This Row],[Experiência Meses]]/12)</f>
        <v>4</v>
      </c>
      <c r="T26" s="2" t="s">
        <v>30</v>
      </c>
      <c r="U26" s="2" t="s">
        <v>30</v>
      </c>
      <c r="V26" s="2" t="s">
        <v>30</v>
      </c>
      <c r="W26" s="2" t="s">
        <v>30</v>
      </c>
      <c r="X26" s="2" t="s">
        <v>30</v>
      </c>
    </row>
    <row r="27" spans="1:24">
      <c r="A27" s="3"/>
      <c r="B27" t="s">
        <v>106</v>
      </c>
      <c r="C27" s="23">
        <v>10465</v>
      </c>
      <c r="D27" s="1">
        <v>44432</v>
      </c>
      <c r="E27" s="1" t="str">
        <f>PROPER(TEXT(Tabela1[[#This Row],[Data]],"dddd"))</f>
        <v>Terça-Feira</v>
      </c>
      <c r="F27" s="21">
        <v>0.34722222222222221</v>
      </c>
      <c r="G2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7" t="s">
        <v>107</v>
      </c>
      <c r="I27" s="2" t="s">
        <v>23</v>
      </c>
      <c r="J27" t="s">
        <v>39</v>
      </c>
      <c r="K27" t="s">
        <v>40</v>
      </c>
      <c r="L27" t="s">
        <v>41</v>
      </c>
      <c r="M27" t="s">
        <v>108</v>
      </c>
      <c r="N27" t="s">
        <v>28</v>
      </c>
      <c r="O27" s="2">
        <v>5</v>
      </c>
      <c r="P27" t="s">
        <v>29</v>
      </c>
      <c r="Q27" s="2">
        <v>2</v>
      </c>
      <c r="R27" s="2">
        <v>5</v>
      </c>
      <c r="S27" s="6">
        <f>Tabela1[[#This Row],[Experiência Anos]]+(Tabela1[[#This Row],[Experiência Meses]]/12)</f>
        <v>2.4166666666666665</v>
      </c>
      <c r="T27" s="2" t="s">
        <v>30</v>
      </c>
      <c r="U27" s="2" t="s">
        <v>23</v>
      </c>
      <c r="V27" s="2" t="s">
        <v>23</v>
      </c>
      <c r="W27" s="2" t="s">
        <v>30</v>
      </c>
      <c r="X27" s="2" t="s">
        <v>23</v>
      </c>
    </row>
    <row r="28" spans="1:24">
      <c r="A28" s="3"/>
      <c r="B28" t="s">
        <v>109</v>
      </c>
      <c r="C28" s="23">
        <v>10594</v>
      </c>
      <c r="D28" s="1">
        <v>44435</v>
      </c>
      <c r="E28" s="1" t="str">
        <f>PROPER(TEXT(Tabela1[[#This Row],[Data]],"dddd"))</f>
        <v>Sexta-Feira</v>
      </c>
      <c r="F28" s="21">
        <v>0.41666666666666669</v>
      </c>
      <c r="G28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8" t="s">
        <v>53</v>
      </c>
      <c r="I28" s="2" t="s">
        <v>23</v>
      </c>
      <c r="J28" t="s">
        <v>39</v>
      </c>
      <c r="K28" t="s">
        <v>40</v>
      </c>
      <c r="L28" t="s">
        <v>41</v>
      </c>
      <c r="M28" t="s">
        <v>45</v>
      </c>
      <c r="N28" t="s">
        <v>28</v>
      </c>
      <c r="O28" s="2">
        <v>3</v>
      </c>
      <c r="P28" t="s">
        <v>29</v>
      </c>
      <c r="Q28" s="2">
        <v>2</v>
      </c>
      <c r="R28" s="2">
        <v>0</v>
      </c>
      <c r="S28" s="6">
        <f>Tabela1[[#This Row],[Experiência Anos]]+(Tabela1[[#This Row],[Experiência Meses]]/12)</f>
        <v>2</v>
      </c>
      <c r="T28" s="2" t="s">
        <v>23</v>
      </c>
      <c r="U28" s="2" t="s">
        <v>30</v>
      </c>
      <c r="V28" s="2" t="s">
        <v>23</v>
      </c>
      <c r="W28" s="2" t="s">
        <v>23</v>
      </c>
      <c r="X28" s="2" t="s">
        <v>30</v>
      </c>
    </row>
    <row r="29" spans="1:24">
      <c r="A29" s="3"/>
      <c r="B29" t="s">
        <v>110</v>
      </c>
      <c r="C29" s="23">
        <v>10880</v>
      </c>
      <c r="D29" s="1">
        <v>44467</v>
      </c>
      <c r="E29" s="1" t="str">
        <f>PROPER(TEXT(Tabela1[[#This Row],[Data]],"dddd"))</f>
        <v>Terça-Feira</v>
      </c>
      <c r="F29" s="21">
        <v>0.6791666666666667</v>
      </c>
      <c r="G29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9" t="s">
        <v>111</v>
      </c>
      <c r="I29" s="2" t="s">
        <v>23</v>
      </c>
      <c r="J29" t="s">
        <v>49</v>
      </c>
      <c r="K29" t="s">
        <v>50</v>
      </c>
      <c r="L29" t="s">
        <v>51</v>
      </c>
      <c r="M29" t="s">
        <v>45</v>
      </c>
      <c r="N29" t="s">
        <v>28</v>
      </c>
      <c r="O29" s="2">
        <v>5</v>
      </c>
      <c r="P29" t="s">
        <v>29</v>
      </c>
      <c r="Q29" s="2">
        <v>1</v>
      </c>
      <c r="R29" s="2">
        <v>0</v>
      </c>
      <c r="S29" s="6">
        <f>Tabela1[[#This Row],[Experiência Anos]]+(Tabela1[[#This Row],[Experiência Meses]]/12)</f>
        <v>1</v>
      </c>
      <c r="T29" s="2" t="s">
        <v>30</v>
      </c>
      <c r="U29" s="2" t="s">
        <v>30</v>
      </c>
      <c r="V29" s="2" t="s">
        <v>23</v>
      </c>
      <c r="W29" s="2" t="s">
        <v>23</v>
      </c>
      <c r="X29" s="2" t="s">
        <v>30</v>
      </c>
    </row>
    <row r="30" spans="1:24">
      <c r="A30" s="3"/>
      <c r="B30" t="s">
        <v>112</v>
      </c>
      <c r="C30" s="23">
        <v>9279</v>
      </c>
      <c r="D30" s="1">
        <v>44468</v>
      </c>
      <c r="E30" s="1" t="str">
        <f>PROPER(TEXT(Tabela1[[#This Row],[Data]],"dddd"))</f>
        <v>Quarta-Feira</v>
      </c>
      <c r="F30" s="21">
        <v>0.71875</v>
      </c>
      <c r="G30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30" t="s">
        <v>113</v>
      </c>
      <c r="I30" s="2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s="2">
        <v>7</v>
      </c>
      <c r="P30" t="s">
        <v>29</v>
      </c>
      <c r="Q30" s="2">
        <v>7</v>
      </c>
      <c r="R30" s="2">
        <v>0</v>
      </c>
      <c r="S30" s="6">
        <f>Tabela1[[#This Row],[Experiência Anos]]+(Tabela1[[#This Row],[Experiência Meses]]/12)</f>
        <v>7</v>
      </c>
      <c r="T30" s="2" t="s">
        <v>30</v>
      </c>
      <c r="U30" s="2" t="s">
        <v>30</v>
      </c>
      <c r="V30" s="2" t="s">
        <v>23</v>
      </c>
      <c r="W30" s="2" t="s">
        <v>23</v>
      </c>
      <c r="X30" s="2" t="s">
        <v>30</v>
      </c>
    </row>
    <row r="31" spans="1:24">
      <c r="A31" s="3"/>
      <c r="B31" t="s">
        <v>114</v>
      </c>
      <c r="C31" s="23">
        <v>10576</v>
      </c>
      <c r="D31" s="1">
        <v>44469</v>
      </c>
      <c r="E31" s="1" t="str">
        <f>PROPER(TEXT(Tabela1[[#This Row],[Data]],"dddd"))</f>
        <v>Quinta-Feira</v>
      </c>
      <c r="F31" s="21">
        <v>0.64861111111111114</v>
      </c>
      <c r="G3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31" t="s">
        <v>115</v>
      </c>
      <c r="I31" s="2" t="s">
        <v>23</v>
      </c>
      <c r="J31" t="s">
        <v>33</v>
      </c>
      <c r="K31" t="s">
        <v>34</v>
      </c>
      <c r="L31" t="s">
        <v>35</v>
      </c>
      <c r="M31" t="s">
        <v>45</v>
      </c>
      <c r="N31" t="s">
        <v>28</v>
      </c>
      <c r="O31" s="2">
        <v>10</v>
      </c>
      <c r="P31" t="s">
        <v>29</v>
      </c>
      <c r="Q31" s="2">
        <v>2</v>
      </c>
      <c r="R31" s="2">
        <v>0</v>
      </c>
      <c r="S31" s="6">
        <f>Tabela1[[#This Row],[Experiência Anos]]+(Tabela1[[#This Row],[Experiência Meses]]/12)</f>
        <v>2</v>
      </c>
      <c r="T31" s="2" t="s">
        <v>30</v>
      </c>
      <c r="U31" s="2" t="s">
        <v>30</v>
      </c>
      <c r="V31" s="2" t="s">
        <v>23</v>
      </c>
      <c r="W31" s="2" t="s">
        <v>30</v>
      </c>
      <c r="X31" s="2" t="s">
        <v>30</v>
      </c>
    </row>
    <row r="32" spans="1:24">
      <c r="A32" s="3"/>
      <c r="B32" t="s">
        <v>116</v>
      </c>
      <c r="C32" s="23">
        <v>8680</v>
      </c>
      <c r="D32" s="1">
        <v>44476</v>
      </c>
      <c r="E32" s="1" t="str">
        <f>PROPER(TEXT(Tabela1[[#This Row],[Data]],"dddd"))</f>
        <v>Quinta-Feira</v>
      </c>
      <c r="F32" s="21">
        <v>0.54166666666666663</v>
      </c>
      <c r="G3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32" t="s">
        <v>117</v>
      </c>
      <c r="I32" s="2" t="s">
        <v>23</v>
      </c>
      <c r="J32" t="s">
        <v>49</v>
      </c>
      <c r="K32" t="s">
        <v>50</v>
      </c>
      <c r="L32" t="s">
        <v>51</v>
      </c>
      <c r="M32" t="s">
        <v>56</v>
      </c>
      <c r="N32" t="s">
        <v>28</v>
      </c>
      <c r="O32" s="2">
        <v>14</v>
      </c>
      <c r="P32" t="s">
        <v>29</v>
      </c>
      <c r="Q32" s="2">
        <v>9</v>
      </c>
      <c r="R32" s="2">
        <v>0</v>
      </c>
      <c r="S32" s="6">
        <f>Tabela1[[#This Row],[Experiência Anos]]+(Tabela1[[#This Row],[Experiência Meses]]/12)</f>
        <v>9</v>
      </c>
      <c r="T32" s="2" t="s">
        <v>30</v>
      </c>
      <c r="U32" s="2" t="s">
        <v>23</v>
      </c>
      <c r="V32" s="2" t="s">
        <v>23</v>
      </c>
      <c r="W32" s="2" t="s">
        <v>30</v>
      </c>
      <c r="X32" s="2" t="s">
        <v>30</v>
      </c>
    </row>
    <row r="33" spans="1:24">
      <c r="A33" s="3"/>
      <c r="B33" t="s">
        <v>118</v>
      </c>
      <c r="C33" s="23">
        <v>11141</v>
      </c>
      <c r="D33" s="1">
        <v>44490</v>
      </c>
      <c r="E33" s="1" t="str">
        <f>PROPER(TEXT(Tabela1[[#This Row],[Data]],"dddd"))</f>
        <v>Quinta-Feira</v>
      </c>
      <c r="F33" s="21">
        <v>0.35625000000000001</v>
      </c>
      <c r="G3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33" t="s">
        <v>119</v>
      </c>
      <c r="I33" s="2" t="s">
        <v>23</v>
      </c>
      <c r="J33" t="s">
        <v>24</v>
      </c>
      <c r="K33" t="s">
        <v>25</v>
      </c>
      <c r="L33" t="s">
        <v>26</v>
      </c>
      <c r="M33" t="s">
        <v>45</v>
      </c>
      <c r="N33" t="s">
        <v>28</v>
      </c>
      <c r="O33" s="2">
        <v>7</v>
      </c>
      <c r="P33" t="s">
        <v>29</v>
      </c>
      <c r="Q33" s="2">
        <v>0</v>
      </c>
      <c r="R33" s="2">
        <v>5</v>
      </c>
      <c r="S33" s="6">
        <f>Tabela1[[#This Row],[Experiência Anos]]+(Tabela1[[#This Row],[Experiência Meses]]/12)</f>
        <v>0.41666666666666669</v>
      </c>
      <c r="T33" s="2" t="s">
        <v>30</v>
      </c>
      <c r="U33" s="2" t="s">
        <v>30</v>
      </c>
      <c r="V33" s="2" t="s">
        <v>23</v>
      </c>
      <c r="W33" s="2" t="s">
        <v>23</v>
      </c>
      <c r="X33" s="2" t="s">
        <v>30</v>
      </c>
    </row>
    <row r="34" spans="1:24">
      <c r="A34" s="3"/>
      <c r="B34" t="s">
        <v>120</v>
      </c>
      <c r="C34" s="23">
        <v>10917</v>
      </c>
      <c r="D34" s="1">
        <v>44491</v>
      </c>
      <c r="E34" s="1" t="str">
        <f>PROPER(TEXT(Tabela1[[#This Row],[Data]],"dddd"))</f>
        <v>Sexta-Feira</v>
      </c>
      <c r="F34" s="21">
        <v>0.4861111111111111</v>
      </c>
      <c r="G34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34" t="s">
        <v>121</v>
      </c>
      <c r="I34" s="2" t="s">
        <v>23</v>
      </c>
      <c r="J34" t="s">
        <v>49</v>
      </c>
      <c r="K34" t="s">
        <v>75</v>
      </c>
      <c r="L34" t="s">
        <v>76</v>
      </c>
      <c r="M34" t="s">
        <v>122</v>
      </c>
      <c r="N34" t="s">
        <v>28</v>
      </c>
      <c r="O34" s="2">
        <v>10</v>
      </c>
      <c r="P34" t="s">
        <v>87</v>
      </c>
      <c r="Q34" s="2">
        <v>1</v>
      </c>
      <c r="R34" s="2">
        <v>11</v>
      </c>
      <c r="S34" s="6">
        <f>Tabela1[[#This Row],[Experiência Anos]]+(Tabela1[[#This Row],[Experiência Meses]]/12)</f>
        <v>1.9166666666666665</v>
      </c>
      <c r="T34" s="2" t="s">
        <v>30</v>
      </c>
      <c r="U34" s="2" t="s">
        <v>30</v>
      </c>
      <c r="V34" s="2" t="s">
        <v>23</v>
      </c>
      <c r="W34" s="2" t="s">
        <v>30</v>
      </c>
      <c r="X34" s="2" t="s">
        <v>30</v>
      </c>
    </row>
    <row r="35" spans="1:24">
      <c r="A35" s="3"/>
      <c r="B35" t="s">
        <v>123</v>
      </c>
      <c r="C35" s="23">
        <v>11128</v>
      </c>
      <c r="D35" s="1">
        <v>44492</v>
      </c>
      <c r="E35" s="1" t="str">
        <f>PROPER(TEXT(Tabela1[[#This Row],[Data]],"dddd"))</f>
        <v>Sábado</v>
      </c>
      <c r="F35" s="21">
        <v>4.1666666666666664E-2</v>
      </c>
      <c r="G35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35" t="s">
        <v>124</v>
      </c>
      <c r="I35" s="2" t="s">
        <v>30</v>
      </c>
      <c r="J35" t="s">
        <v>49</v>
      </c>
      <c r="K35" t="s">
        <v>50</v>
      </c>
      <c r="L35" t="s">
        <v>51</v>
      </c>
      <c r="M35" t="s">
        <v>56</v>
      </c>
      <c r="N35" t="s">
        <v>28</v>
      </c>
      <c r="O35" s="2">
        <v>15</v>
      </c>
      <c r="P35" t="s">
        <v>29</v>
      </c>
      <c r="Q35" s="2">
        <v>0</v>
      </c>
      <c r="R35" s="2">
        <v>4</v>
      </c>
      <c r="S35" s="6">
        <f>Tabela1[[#This Row],[Experiência Anos]]+(Tabela1[[#This Row],[Experiência Meses]]/12)</f>
        <v>0.33333333333333331</v>
      </c>
      <c r="T35" s="2" t="s">
        <v>30</v>
      </c>
      <c r="U35" s="2" t="s">
        <v>23</v>
      </c>
      <c r="V35" s="2" t="s">
        <v>23</v>
      </c>
      <c r="W35" s="2" t="s">
        <v>30</v>
      </c>
      <c r="X35" s="2" t="s">
        <v>30</v>
      </c>
    </row>
    <row r="36" spans="1:24">
      <c r="A36" s="3"/>
      <c r="B36" t="s">
        <v>125</v>
      </c>
      <c r="C36" s="23">
        <v>11149</v>
      </c>
      <c r="D36" s="1">
        <v>44498</v>
      </c>
      <c r="E36" s="1" t="str">
        <f>PROPER(TEXT(Tabela1[[#This Row],[Data]],"dddd"))</f>
        <v>Sexta-Feira</v>
      </c>
      <c r="F36" s="21">
        <v>0.72638888888888886</v>
      </c>
      <c r="G3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36" t="s">
        <v>126</v>
      </c>
      <c r="I36" s="2" t="s">
        <v>23</v>
      </c>
      <c r="J36" t="s">
        <v>24</v>
      </c>
      <c r="K36" t="s">
        <v>25</v>
      </c>
      <c r="L36" t="s">
        <v>26</v>
      </c>
      <c r="M36" t="s">
        <v>45</v>
      </c>
      <c r="N36" t="s">
        <v>28</v>
      </c>
      <c r="O36" s="2">
        <v>7</v>
      </c>
      <c r="P36" t="s">
        <v>29</v>
      </c>
      <c r="Q36" s="2">
        <v>0</v>
      </c>
      <c r="R36" s="2">
        <v>3</v>
      </c>
      <c r="S36" s="6">
        <f>Tabela1[[#This Row],[Experiência Anos]]+(Tabela1[[#This Row],[Experiência Meses]]/12)</f>
        <v>0.25</v>
      </c>
      <c r="T36" s="2" t="s">
        <v>30</v>
      </c>
      <c r="U36" s="2" t="s">
        <v>23</v>
      </c>
      <c r="V36" s="2" t="s">
        <v>23</v>
      </c>
      <c r="W36" s="2" t="s">
        <v>23</v>
      </c>
      <c r="X36" s="2" t="s">
        <v>30</v>
      </c>
    </row>
    <row r="37" spans="1:24">
      <c r="A37" s="3"/>
      <c r="B37" t="s">
        <v>127</v>
      </c>
      <c r="C37" s="23">
        <v>10734</v>
      </c>
      <c r="D37" s="1">
        <v>44504</v>
      </c>
      <c r="E37" s="1" t="str">
        <f>PROPER(TEXT(Tabela1[[#This Row],[Data]],"dddd"))</f>
        <v>Quinta-Feira</v>
      </c>
      <c r="F37" s="21">
        <v>0.63194444444444442</v>
      </c>
      <c r="G37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37" t="s">
        <v>128</v>
      </c>
      <c r="I37" s="2" t="s">
        <v>23</v>
      </c>
      <c r="J37" t="s">
        <v>24</v>
      </c>
      <c r="K37" t="s">
        <v>25</v>
      </c>
      <c r="L37" t="s">
        <v>26</v>
      </c>
      <c r="M37" t="s">
        <v>45</v>
      </c>
      <c r="N37" t="s">
        <v>28</v>
      </c>
      <c r="O37" s="2">
        <v>1</v>
      </c>
      <c r="P37" t="s">
        <v>84</v>
      </c>
      <c r="Q37" s="2">
        <v>1</v>
      </c>
      <c r="R37" s="2">
        <v>11</v>
      </c>
      <c r="S37" s="6">
        <f>Tabela1[[#This Row],[Experiência Anos]]+(Tabela1[[#This Row],[Experiência Meses]]/12)</f>
        <v>1.9166666666666665</v>
      </c>
      <c r="T37" s="2" t="s">
        <v>30</v>
      </c>
      <c r="U37" s="2" t="s">
        <v>30</v>
      </c>
      <c r="V37" s="2" t="s">
        <v>23</v>
      </c>
      <c r="W37" s="2" t="s">
        <v>23</v>
      </c>
      <c r="X37" s="2" t="s">
        <v>30</v>
      </c>
    </row>
    <row r="38" spans="1:24">
      <c r="A38" s="3"/>
      <c r="B38" t="s">
        <v>129</v>
      </c>
      <c r="C38" s="23">
        <v>11080</v>
      </c>
      <c r="D38" s="1">
        <v>44512</v>
      </c>
      <c r="E38" s="1" t="str">
        <f>PROPER(TEXT(Tabela1[[#This Row],[Data]],"dddd"))</f>
        <v>Sexta-Feira</v>
      </c>
      <c r="F38" s="21">
        <v>0.80486111111111114</v>
      </c>
      <c r="G38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38" t="s">
        <v>130</v>
      </c>
      <c r="I38" s="2" t="s">
        <v>23</v>
      </c>
      <c r="J38" t="s">
        <v>49</v>
      </c>
      <c r="K38" t="s">
        <v>50</v>
      </c>
      <c r="L38" t="s">
        <v>51</v>
      </c>
      <c r="M38" t="s">
        <v>56</v>
      </c>
      <c r="N38" t="s">
        <v>28</v>
      </c>
      <c r="O38" s="2">
        <v>10</v>
      </c>
      <c r="P38" t="s">
        <v>29</v>
      </c>
      <c r="Q38" s="2">
        <v>0</v>
      </c>
      <c r="R38" s="2">
        <v>6</v>
      </c>
      <c r="S38" s="6">
        <f>Tabela1[[#This Row],[Experiência Anos]]+(Tabela1[[#This Row],[Experiência Meses]]/12)</f>
        <v>0.5</v>
      </c>
      <c r="T38" s="2" t="s">
        <v>30</v>
      </c>
      <c r="U38" s="2" t="s">
        <v>23</v>
      </c>
      <c r="V38" s="2" t="s">
        <v>23</v>
      </c>
      <c r="W38" s="2" t="s">
        <v>30</v>
      </c>
      <c r="X38" s="2" t="s">
        <v>30</v>
      </c>
    </row>
    <row r="39" spans="1:24">
      <c r="A39" s="3"/>
      <c r="B39" t="s">
        <v>131</v>
      </c>
      <c r="C39" s="23">
        <v>10153</v>
      </c>
      <c r="D39" s="1">
        <v>44523</v>
      </c>
      <c r="E39" s="1" t="str">
        <f>PROPER(TEXT(Tabela1[[#This Row],[Data]],"dddd"))</f>
        <v>Terça-Feira</v>
      </c>
      <c r="F39" s="21">
        <v>0.22083333333333333</v>
      </c>
      <c r="G39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39" t="s">
        <v>132</v>
      </c>
      <c r="I39" s="2" t="s">
        <v>23</v>
      </c>
      <c r="J39" t="s">
        <v>39</v>
      </c>
      <c r="K39" t="s">
        <v>40</v>
      </c>
      <c r="L39" t="s">
        <v>41</v>
      </c>
      <c r="M39" t="s">
        <v>42</v>
      </c>
      <c r="N39" t="s">
        <v>28</v>
      </c>
      <c r="O39" s="2">
        <v>15</v>
      </c>
      <c r="P39" t="s">
        <v>29</v>
      </c>
      <c r="Q39" s="2">
        <v>4</v>
      </c>
      <c r="R39" s="2">
        <v>2</v>
      </c>
      <c r="S39" s="6">
        <f>Tabela1[[#This Row],[Experiência Anos]]+(Tabela1[[#This Row],[Experiência Meses]]/12)</f>
        <v>4.166666666666667</v>
      </c>
      <c r="T39" s="2" t="s">
        <v>30</v>
      </c>
      <c r="U39" s="2" t="s">
        <v>30</v>
      </c>
      <c r="V39" s="2" t="s">
        <v>23</v>
      </c>
      <c r="W39" s="2" t="s">
        <v>23</v>
      </c>
      <c r="X39" s="2" t="s">
        <v>30</v>
      </c>
    </row>
    <row r="40" spans="1:24">
      <c r="A40" s="3"/>
      <c r="B40" t="s">
        <v>133</v>
      </c>
      <c r="C40" s="23">
        <v>11176</v>
      </c>
      <c r="D40" s="1">
        <v>44525</v>
      </c>
      <c r="E40" s="1" t="str">
        <f>PROPER(TEXT(Tabela1[[#This Row],[Data]],"dddd"))</f>
        <v>Quinta-Feira</v>
      </c>
      <c r="F40" s="21">
        <v>0.9770833333333333</v>
      </c>
      <c r="G40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40" t="s">
        <v>134</v>
      </c>
      <c r="I40" s="2" t="s">
        <v>23</v>
      </c>
      <c r="J40" t="s">
        <v>39</v>
      </c>
      <c r="K40" t="s">
        <v>40</v>
      </c>
      <c r="L40" t="s">
        <v>41</v>
      </c>
      <c r="M40" t="s">
        <v>45</v>
      </c>
      <c r="N40" t="s">
        <v>28</v>
      </c>
      <c r="O40" s="2">
        <v>3</v>
      </c>
      <c r="P40" t="s">
        <v>84</v>
      </c>
      <c r="Q40" s="2">
        <v>0</v>
      </c>
      <c r="R40" s="2">
        <v>3</v>
      </c>
      <c r="S40" s="6">
        <f>Tabela1[[#This Row],[Experiência Anos]]+(Tabela1[[#This Row],[Experiência Meses]]/12)</f>
        <v>0.25</v>
      </c>
      <c r="T40" s="2" t="s">
        <v>30</v>
      </c>
      <c r="U40" s="2" t="s">
        <v>30</v>
      </c>
      <c r="V40" s="2" t="s">
        <v>30</v>
      </c>
      <c r="W40" s="2" t="s">
        <v>23</v>
      </c>
      <c r="X40" s="2" t="s">
        <v>30</v>
      </c>
    </row>
    <row r="41" spans="1:24">
      <c r="A41" s="3"/>
      <c r="B41" t="s">
        <v>135</v>
      </c>
      <c r="C41" s="23">
        <v>11027</v>
      </c>
      <c r="D41" s="1">
        <v>44539</v>
      </c>
      <c r="E41" s="1" t="str">
        <f>PROPER(TEXT(Tabela1[[#This Row],[Data]],"dddd"))</f>
        <v>Quinta-Feira</v>
      </c>
      <c r="F41" s="21">
        <v>0.5</v>
      </c>
      <c r="G4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41" t="s">
        <v>136</v>
      </c>
      <c r="I41" s="2" t="s">
        <v>30</v>
      </c>
      <c r="J41" t="s">
        <v>49</v>
      </c>
      <c r="K41" t="s">
        <v>50</v>
      </c>
      <c r="L41" t="s">
        <v>51</v>
      </c>
      <c r="M41" t="s">
        <v>56</v>
      </c>
      <c r="N41" t="s">
        <v>28</v>
      </c>
      <c r="O41" s="2">
        <v>15</v>
      </c>
      <c r="P41" t="s">
        <v>29</v>
      </c>
      <c r="Q41" s="2">
        <v>0</v>
      </c>
      <c r="R41" s="2">
        <v>9</v>
      </c>
      <c r="S41" s="6">
        <f>Tabela1[[#This Row],[Experiência Anos]]+(Tabela1[[#This Row],[Experiência Meses]]/12)</f>
        <v>0.75</v>
      </c>
      <c r="T41" s="2" t="s">
        <v>23</v>
      </c>
      <c r="U41" s="2" t="s">
        <v>30</v>
      </c>
      <c r="V41" s="2" t="s">
        <v>23</v>
      </c>
      <c r="W41" s="2" t="s">
        <v>30</v>
      </c>
      <c r="X41" s="2" t="s">
        <v>30</v>
      </c>
    </row>
    <row r="42" spans="1:24">
      <c r="A42" s="3"/>
      <c r="B42" t="s">
        <v>137</v>
      </c>
      <c r="C42" s="23">
        <v>10910</v>
      </c>
      <c r="D42" s="1">
        <v>44550</v>
      </c>
      <c r="E42" s="1" t="str">
        <f>PROPER(TEXT(Tabela1[[#This Row],[Data]],"dddd"))</f>
        <v>Segunda-Feira</v>
      </c>
      <c r="F42" s="21">
        <v>0.4152777777777778</v>
      </c>
      <c r="G42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42" t="s">
        <v>138</v>
      </c>
      <c r="I42" s="2" t="s">
        <v>23</v>
      </c>
      <c r="J42" t="s">
        <v>49</v>
      </c>
      <c r="K42" t="s">
        <v>50</v>
      </c>
      <c r="L42" t="s">
        <v>51</v>
      </c>
      <c r="M42" t="s">
        <v>56</v>
      </c>
      <c r="N42" t="s">
        <v>28</v>
      </c>
      <c r="O42" s="2">
        <v>3</v>
      </c>
      <c r="P42" t="s">
        <v>139</v>
      </c>
      <c r="Q42" s="2">
        <v>1</v>
      </c>
      <c r="R42" s="2">
        <v>0</v>
      </c>
      <c r="S42" s="6">
        <f>Tabela1[[#This Row],[Experiência Anos]]+(Tabela1[[#This Row],[Experiência Meses]]/12)</f>
        <v>1</v>
      </c>
      <c r="T42" s="2" t="s">
        <v>30</v>
      </c>
      <c r="U42" s="2" t="s">
        <v>23</v>
      </c>
      <c r="V42" s="2" t="s">
        <v>23</v>
      </c>
      <c r="W42" s="2" t="s">
        <v>30</v>
      </c>
      <c r="X42" s="2" t="s">
        <v>30</v>
      </c>
    </row>
    <row r="43" spans="1:24">
      <c r="A43" s="3"/>
      <c r="B43" t="s">
        <v>140</v>
      </c>
      <c r="C43" s="23">
        <v>10671</v>
      </c>
      <c r="D43" s="1">
        <v>44552</v>
      </c>
      <c r="E43" s="1" t="str">
        <f>PROPER(TEXT(Tabela1[[#This Row],[Data]],"dddd"))</f>
        <v>Quarta-Feira</v>
      </c>
      <c r="F43" s="21">
        <v>0.46180555555555558</v>
      </c>
      <c r="G4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43" t="s">
        <v>141</v>
      </c>
      <c r="I43" s="2" t="s">
        <v>23</v>
      </c>
      <c r="J43" t="s">
        <v>49</v>
      </c>
      <c r="K43" t="s">
        <v>50</v>
      </c>
      <c r="L43" t="s">
        <v>51</v>
      </c>
      <c r="M43" t="s">
        <v>45</v>
      </c>
      <c r="N43" t="s">
        <v>28</v>
      </c>
      <c r="O43" s="2">
        <v>7</v>
      </c>
      <c r="P43" t="s">
        <v>29</v>
      </c>
      <c r="Q43" s="2">
        <v>2</v>
      </c>
      <c r="R43" s="2">
        <v>0</v>
      </c>
      <c r="S43" s="6">
        <f>Tabela1[[#This Row],[Experiência Anos]]+(Tabela1[[#This Row],[Experiência Meses]]/12)</f>
        <v>2</v>
      </c>
      <c r="T43" s="2" t="s">
        <v>30</v>
      </c>
      <c r="U43" s="2" t="s">
        <v>30</v>
      </c>
      <c r="V43" s="2" t="s">
        <v>23</v>
      </c>
      <c r="W43" s="2" t="s">
        <v>30</v>
      </c>
      <c r="X43" s="2" t="s">
        <v>30</v>
      </c>
    </row>
    <row r="44" spans="1:24">
      <c r="A44" s="3"/>
      <c r="B44" t="s">
        <v>142</v>
      </c>
      <c r="C44" s="23">
        <v>11161</v>
      </c>
      <c r="D44" s="1">
        <v>44557</v>
      </c>
      <c r="E44" s="1" t="str">
        <f>PROPER(TEXT(Tabela1[[#This Row],[Data]],"dddd"))</f>
        <v>Segunda-Feira</v>
      </c>
      <c r="F44" s="21">
        <v>0.40833333333333333</v>
      </c>
      <c r="G44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44" t="s">
        <v>143</v>
      </c>
      <c r="I44" s="2" t="s">
        <v>23</v>
      </c>
      <c r="J44" t="s">
        <v>49</v>
      </c>
      <c r="K44" t="s">
        <v>50</v>
      </c>
      <c r="L44" t="s">
        <v>51</v>
      </c>
      <c r="M44" t="s">
        <v>56</v>
      </c>
      <c r="N44" t="s">
        <v>28</v>
      </c>
      <c r="O44" s="2">
        <v>3</v>
      </c>
      <c r="P44" t="s">
        <v>139</v>
      </c>
      <c r="Q44" s="2">
        <v>0</v>
      </c>
      <c r="R44" s="2">
        <v>6</v>
      </c>
      <c r="S44" s="6">
        <f>Tabela1[[#This Row],[Experiência Anos]]+(Tabela1[[#This Row],[Experiência Meses]]/12)</f>
        <v>0.5</v>
      </c>
      <c r="T44" s="2" t="s">
        <v>30</v>
      </c>
      <c r="U44" s="2" t="s">
        <v>23</v>
      </c>
      <c r="V44" s="2" t="s">
        <v>23</v>
      </c>
      <c r="W44" s="2" t="s">
        <v>30</v>
      </c>
      <c r="X44" s="2" t="s">
        <v>23</v>
      </c>
    </row>
    <row r="45" spans="1:24">
      <c r="A45" s="3"/>
      <c r="B45" t="s">
        <v>144</v>
      </c>
      <c r="C45" s="23">
        <v>11285</v>
      </c>
      <c r="D45" s="1">
        <v>44580</v>
      </c>
      <c r="E45" s="1" t="str">
        <f>PROPER(TEXT(Tabela1[[#This Row],[Data]],"dddd"))</f>
        <v>Quarta-Feira</v>
      </c>
      <c r="F45" s="21">
        <v>0.66666666666666663</v>
      </c>
      <c r="G45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45" t="s">
        <v>145</v>
      </c>
      <c r="I45" s="2" t="s">
        <v>23</v>
      </c>
      <c r="J45" t="s">
        <v>33</v>
      </c>
      <c r="K45" t="s">
        <v>34</v>
      </c>
      <c r="L45" t="s">
        <v>35</v>
      </c>
      <c r="M45" t="s">
        <v>45</v>
      </c>
      <c r="N45" t="s">
        <v>28</v>
      </c>
      <c r="O45" s="2">
        <v>3</v>
      </c>
      <c r="P45" t="s">
        <v>139</v>
      </c>
      <c r="Q45" s="2">
        <v>0</v>
      </c>
      <c r="R45" s="2">
        <v>2</v>
      </c>
      <c r="S45" s="6">
        <f>Tabela1[[#This Row],[Experiência Anos]]+(Tabela1[[#This Row],[Experiência Meses]]/12)</f>
        <v>0.16666666666666666</v>
      </c>
      <c r="T45" s="2" t="s">
        <v>30</v>
      </c>
      <c r="U45" s="2" t="s">
        <v>30</v>
      </c>
      <c r="V45" s="2" t="s">
        <v>30</v>
      </c>
      <c r="W45" s="2" t="s">
        <v>23</v>
      </c>
      <c r="X45" s="2" t="s">
        <v>30</v>
      </c>
    </row>
    <row r="46" spans="1:24">
      <c r="A46" s="3"/>
      <c r="B46" t="s">
        <v>146</v>
      </c>
      <c r="C46" s="23">
        <v>11210</v>
      </c>
      <c r="D46" s="1">
        <v>44580</v>
      </c>
      <c r="E46" s="1" t="str">
        <f>PROPER(TEXT(Tabela1[[#This Row],[Data]],"dddd"))</f>
        <v>Quarta-Feira</v>
      </c>
      <c r="F46" s="21">
        <v>0.5</v>
      </c>
      <c r="G4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46" t="s">
        <v>147</v>
      </c>
      <c r="I46" s="2" t="s">
        <v>23</v>
      </c>
      <c r="J46" t="s">
        <v>49</v>
      </c>
      <c r="K46" t="s">
        <v>148</v>
      </c>
      <c r="L46" t="s">
        <v>149</v>
      </c>
      <c r="M46" t="s">
        <v>150</v>
      </c>
      <c r="N46" t="s">
        <v>28</v>
      </c>
      <c r="O46" s="2">
        <v>5</v>
      </c>
      <c r="P46" t="s">
        <v>29</v>
      </c>
      <c r="Q46" s="2">
        <v>0</v>
      </c>
      <c r="R46" s="2">
        <v>5</v>
      </c>
      <c r="S46" s="6">
        <f>Tabela1[[#This Row],[Experiência Anos]]+(Tabela1[[#This Row],[Experiência Meses]]/12)</f>
        <v>0.41666666666666669</v>
      </c>
      <c r="T46" s="2" t="s">
        <v>30</v>
      </c>
      <c r="U46" s="2" t="s">
        <v>23</v>
      </c>
      <c r="V46" s="2" t="s">
        <v>23</v>
      </c>
      <c r="W46" s="2" t="s">
        <v>30</v>
      </c>
      <c r="X46" s="2" t="s">
        <v>23</v>
      </c>
    </row>
    <row r="47" spans="1:24">
      <c r="A47" s="3"/>
      <c r="B47" t="s">
        <v>151</v>
      </c>
      <c r="C47" s="23">
        <v>8962</v>
      </c>
      <c r="D47" s="1">
        <v>44590</v>
      </c>
      <c r="E47" s="1" t="str">
        <f>PROPER(TEXT(Tabela1[[#This Row],[Data]],"dddd"))</f>
        <v>Sábado</v>
      </c>
      <c r="F47" s="21">
        <v>0.47916666666666669</v>
      </c>
      <c r="G4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47" t="s">
        <v>152</v>
      </c>
      <c r="I47" s="2" t="s">
        <v>23</v>
      </c>
      <c r="J47" t="s">
        <v>49</v>
      </c>
      <c r="K47" t="s">
        <v>50</v>
      </c>
      <c r="L47" t="s">
        <v>51</v>
      </c>
      <c r="M47" t="s">
        <v>27</v>
      </c>
      <c r="N47" t="s">
        <v>28</v>
      </c>
      <c r="O47" s="2">
        <v>3</v>
      </c>
      <c r="P47" t="s">
        <v>139</v>
      </c>
      <c r="Q47" s="2">
        <v>9</v>
      </c>
      <c r="R47" s="2">
        <v>3</v>
      </c>
      <c r="S47" s="6">
        <f>Tabela1[[#This Row],[Experiência Anos]]+(Tabela1[[#This Row],[Experiência Meses]]/12)</f>
        <v>9.25</v>
      </c>
      <c r="T47" s="2" t="s">
        <v>30</v>
      </c>
      <c r="U47" s="2" t="s">
        <v>30</v>
      </c>
      <c r="V47" s="2" t="s">
        <v>23</v>
      </c>
      <c r="W47" s="2" t="s">
        <v>30</v>
      </c>
      <c r="X47" s="2" t="s">
        <v>30</v>
      </c>
    </row>
    <row r="48" spans="1:24">
      <c r="A48" s="3"/>
      <c r="B48" t="s">
        <v>153</v>
      </c>
      <c r="C48" s="23">
        <v>11262</v>
      </c>
      <c r="D48" s="1">
        <v>44590</v>
      </c>
      <c r="E48" s="1" t="str">
        <f>PROPER(TEXT(Tabela1[[#This Row],[Data]],"dddd"))</f>
        <v>Sábado</v>
      </c>
      <c r="F48" s="21">
        <v>0.59722222222222221</v>
      </c>
      <c r="G4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48" t="s">
        <v>154</v>
      </c>
      <c r="I48" s="2" t="s">
        <v>30</v>
      </c>
      <c r="J48" t="s">
        <v>33</v>
      </c>
      <c r="K48" t="s">
        <v>34</v>
      </c>
      <c r="L48" t="s">
        <v>35</v>
      </c>
      <c r="M48" t="s">
        <v>45</v>
      </c>
      <c r="N48" t="s">
        <v>28</v>
      </c>
      <c r="O48" s="2">
        <v>15</v>
      </c>
      <c r="P48" t="s">
        <v>29</v>
      </c>
      <c r="Q48" s="2">
        <v>0</v>
      </c>
      <c r="R48" s="2">
        <v>1</v>
      </c>
      <c r="S48" s="6">
        <f>Tabela1[[#This Row],[Experiência Anos]]+(Tabela1[[#This Row],[Experiência Meses]]/12)</f>
        <v>8.3333333333333329E-2</v>
      </c>
      <c r="T48" s="2" t="s">
        <v>30</v>
      </c>
      <c r="U48" s="2" t="s">
        <v>30</v>
      </c>
      <c r="V48" s="2" t="s">
        <v>30</v>
      </c>
      <c r="W48" s="2" t="s">
        <v>23</v>
      </c>
      <c r="X48" s="2" t="s">
        <v>30</v>
      </c>
    </row>
    <row r="49" spans="1:24">
      <c r="A49" s="3"/>
      <c r="B49" t="s">
        <v>155</v>
      </c>
      <c r="C49" s="23">
        <v>11096</v>
      </c>
      <c r="D49" s="1">
        <v>44596</v>
      </c>
      <c r="E49" s="1" t="str">
        <f>PROPER(TEXT(Tabela1[[#This Row],[Data]],"dddd"))</f>
        <v>Sexta-Feira</v>
      </c>
      <c r="F49" s="21">
        <v>0.61111111111111116</v>
      </c>
      <c r="G49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49" t="s">
        <v>156</v>
      </c>
      <c r="I49" s="2" t="s">
        <v>23</v>
      </c>
      <c r="J49" t="s">
        <v>24</v>
      </c>
      <c r="K49" t="s">
        <v>25</v>
      </c>
      <c r="L49" t="s">
        <v>26</v>
      </c>
      <c r="M49" t="s">
        <v>45</v>
      </c>
      <c r="N49" t="s">
        <v>28</v>
      </c>
      <c r="O49" s="2">
        <v>5</v>
      </c>
      <c r="P49" t="s">
        <v>70</v>
      </c>
      <c r="Q49" s="2">
        <v>0</v>
      </c>
      <c r="R49" s="2">
        <v>9</v>
      </c>
      <c r="S49" s="6">
        <f>Tabela1[[#This Row],[Experiência Anos]]+(Tabela1[[#This Row],[Experiência Meses]]/12)</f>
        <v>0.75</v>
      </c>
      <c r="T49" s="2" t="s">
        <v>23</v>
      </c>
      <c r="U49" s="2" t="s">
        <v>23</v>
      </c>
      <c r="V49" s="2" t="s">
        <v>23</v>
      </c>
      <c r="W49" s="2" t="s">
        <v>23</v>
      </c>
      <c r="X49" s="2" t="s">
        <v>30</v>
      </c>
    </row>
    <row r="50" spans="1:24">
      <c r="A50" s="3"/>
      <c r="B50" t="s">
        <v>157</v>
      </c>
      <c r="C50" s="23">
        <v>9336</v>
      </c>
      <c r="D50" s="1">
        <v>44601</v>
      </c>
      <c r="E50" s="1" t="str">
        <f>PROPER(TEXT(Tabela1[[#This Row],[Data]],"dddd"))</f>
        <v>Quarta-Feira</v>
      </c>
      <c r="F50" s="21">
        <v>0.18055555555555555</v>
      </c>
      <c r="G50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50" t="s">
        <v>158</v>
      </c>
      <c r="I50" s="2" t="s">
        <v>23</v>
      </c>
      <c r="J50" t="s">
        <v>49</v>
      </c>
      <c r="K50" t="s">
        <v>50</v>
      </c>
      <c r="L50" t="s">
        <v>51</v>
      </c>
      <c r="M50" t="s">
        <v>27</v>
      </c>
      <c r="N50" t="s">
        <v>28</v>
      </c>
      <c r="O50" s="2">
        <v>7</v>
      </c>
      <c r="P50" t="s">
        <v>29</v>
      </c>
      <c r="Q50" s="2">
        <v>7</v>
      </c>
      <c r="R50" s="2">
        <v>11</v>
      </c>
      <c r="S50" s="6">
        <f>Tabela1[[#This Row],[Experiência Anos]]+(Tabela1[[#This Row],[Experiência Meses]]/12)</f>
        <v>7.916666666666667</v>
      </c>
      <c r="T50" s="2" t="s">
        <v>30</v>
      </c>
      <c r="U50" s="2" t="s">
        <v>30</v>
      </c>
      <c r="V50" s="2" t="s">
        <v>23</v>
      </c>
      <c r="W50" s="2" t="s">
        <v>30</v>
      </c>
      <c r="X50" s="2" t="s">
        <v>23</v>
      </c>
    </row>
    <row r="51" spans="1:24">
      <c r="A51" s="3"/>
      <c r="B51" t="s">
        <v>159</v>
      </c>
      <c r="C51" s="23">
        <v>11114</v>
      </c>
      <c r="D51" s="1">
        <v>44607</v>
      </c>
      <c r="E51" s="1" t="str">
        <f>PROPER(TEXT(Tabela1[[#This Row],[Data]],"dddd"))</f>
        <v>Terça-Feira</v>
      </c>
      <c r="F51" s="21">
        <v>0.97916666666666663</v>
      </c>
      <c r="G51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51" t="s">
        <v>160</v>
      </c>
      <c r="I51" s="2" t="s">
        <v>23</v>
      </c>
      <c r="J51" t="s">
        <v>24</v>
      </c>
      <c r="K51" t="s">
        <v>25</v>
      </c>
      <c r="L51" t="s">
        <v>26</v>
      </c>
      <c r="M51" t="s">
        <v>45</v>
      </c>
      <c r="N51" t="s">
        <v>28</v>
      </c>
      <c r="O51" s="2">
        <v>2</v>
      </c>
      <c r="P51" t="s">
        <v>139</v>
      </c>
      <c r="Q51" s="2">
        <v>0</v>
      </c>
      <c r="R51" s="2">
        <v>9</v>
      </c>
      <c r="S51" s="6">
        <f>Tabela1[[#This Row],[Experiência Anos]]+(Tabela1[[#This Row],[Experiência Meses]]/12)</f>
        <v>0.75</v>
      </c>
      <c r="T51" s="2" t="s">
        <v>30</v>
      </c>
      <c r="U51" s="2" t="s">
        <v>30</v>
      </c>
      <c r="V51" s="2" t="s">
        <v>23</v>
      </c>
      <c r="W51" s="2" t="s">
        <v>23</v>
      </c>
      <c r="X51" s="2" t="s">
        <v>30</v>
      </c>
    </row>
    <row r="52" spans="1:24">
      <c r="A52" s="3"/>
      <c r="B52" t="s">
        <v>161</v>
      </c>
      <c r="C52" s="23">
        <v>10760</v>
      </c>
      <c r="D52" s="1">
        <v>44621</v>
      </c>
      <c r="E52" s="1" t="str">
        <f>PROPER(TEXT(Tabela1[[#This Row],[Data]],"dddd"))</f>
        <v>Terça-Feira</v>
      </c>
      <c r="F52" s="21">
        <v>0.81041666666666667</v>
      </c>
      <c r="G52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52" t="s">
        <v>162</v>
      </c>
      <c r="I52" s="2" t="s">
        <v>30</v>
      </c>
      <c r="J52" t="s">
        <v>49</v>
      </c>
      <c r="K52" t="s">
        <v>75</v>
      </c>
      <c r="L52" t="s">
        <v>76</v>
      </c>
      <c r="M52" t="s">
        <v>163</v>
      </c>
      <c r="N52" t="s">
        <v>101</v>
      </c>
      <c r="O52" s="2">
        <v>15</v>
      </c>
      <c r="P52" t="s">
        <v>46</v>
      </c>
      <c r="Q52" s="2">
        <v>1</v>
      </c>
      <c r="R52" s="2">
        <v>11</v>
      </c>
      <c r="S52" s="6">
        <f>Tabela1[[#This Row],[Experiência Anos]]+(Tabela1[[#This Row],[Experiência Meses]]/12)</f>
        <v>1.9166666666666665</v>
      </c>
      <c r="T52" s="2" t="s">
        <v>30</v>
      </c>
      <c r="U52" s="2" t="s">
        <v>23</v>
      </c>
      <c r="V52" s="2" t="s">
        <v>23</v>
      </c>
      <c r="W52" s="2" t="s">
        <v>30</v>
      </c>
      <c r="X52" s="2" t="s">
        <v>30</v>
      </c>
    </row>
    <row r="53" spans="1:24">
      <c r="A53" s="3"/>
      <c r="B53" t="s">
        <v>164</v>
      </c>
      <c r="C53" s="23">
        <v>11326</v>
      </c>
      <c r="D53" s="1">
        <v>44627</v>
      </c>
      <c r="E53" s="1" t="str">
        <f>PROPER(TEXT(Tabela1[[#This Row],[Data]],"dddd"))</f>
        <v>Segunda-Feira</v>
      </c>
      <c r="F53" s="21">
        <v>0.58750000000000002</v>
      </c>
      <c r="G53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53" t="s">
        <v>165</v>
      </c>
      <c r="I53" s="2" t="s">
        <v>30</v>
      </c>
      <c r="J53" t="s">
        <v>24</v>
      </c>
      <c r="K53" t="s">
        <v>166</v>
      </c>
      <c r="L53" t="s">
        <v>167</v>
      </c>
      <c r="M53" t="s">
        <v>168</v>
      </c>
      <c r="N53" t="s">
        <v>28</v>
      </c>
      <c r="O53" s="2">
        <v>14</v>
      </c>
      <c r="P53" t="s">
        <v>29</v>
      </c>
      <c r="Q53" s="2">
        <v>0</v>
      </c>
      <c r="R53" s="2">
        <v>1</v>
      </c>
      <c r="S53" s="6">
        <f>Tabela1[[#This Row],[Experiência Anos]]+(Tabela1[[#This Row],[Experiência Meses]]/12)</f>
        <v>8.3333333333333329E-2</v>
      </c>
      <c r="T53" s="2" t="s">
        <v>30</v>
      </c>
      <c r="U53" s="2" t="s">
        <v>30</v>
      </c>
      <c r="V53" s="2" t="s">
        <v>23</v>
      </c>
      <c r="W53" s="2" t="s">
        <v>23</v>
      </c>
      <c r="X53" s="2" t="s">
        <v>23</v>
      </c>
    </row>
    <row r="54" spans="1:24">
      <c r="A54" s="3"/>
      <c r="B54" t="s">
        <v>169</v>
      </c>
      <c r="C54" s="23">
        <v>10465</v>
      </c>
      <c r="D54" s="1">
        <v>44634</v>
      </c>
      <c r="E54" s="1" t="str">
        <f>PROPER(TEXT(Tabela1[[#This Row],[Data]],"dddd"))</f>
        <v>Segunda-Feira</v>
      </c>
      <c r="F54" s="21">
        <v>0.3611111111111111</v>
      </c>
      <c r="G54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54" t="s">
        <v>107</v>
      </c>
      <c r="I54" s="2" t="s">
        <v>23</v>
      </c>
      <c r="J54" t="s">
        <v>39</v>
      </c>
      <c r="K54" t="s">
        <v>40</v>
      </c>
      <c r="L54" t="s">
        <v>41</v>
      </c>
      <c r="M54" t="s">
        <v>108</v>
      </c>
      <c r="N54" t="s">
        <v>28</v>
      </c>
      <c r="O54" s="2">
        <v>7</v>
      </c>
      <c r="P54" t="s">
        <v>29</v>
      </c>
      <c r="Q54" s="2">
        <v>3</v>
      </c>
      <c r="R54" s="2">
        <v>1</v>
      </c>
      <c r="S54" s="6">
        <f>Tabela1[[#This Row],[Experiência Anos]]+(Tabela1[[#This Row],[Experiência Meses]]/12)</f>
        <v>3.0833333333333335</v>
      </c>
      <c r="T54" s="2" t="s">
        <v>30</v>
      </c>
      <c r="U54" s="2" t="s">
        <v>30</v>
      </c>
      <c r="V54" s="2" t="s">
        <v>23</v>
      </c>
      <c r="W54" s="2" t="s">
        <v>23</v>
      </c>
      <c r="X54" s="2" t="s">
        <v>23</v>
      </c>
    </row>
    <row r="55" spans="1:24">
      <c r="A55" s="3"/>
      <c r="B55" t="s">
        <v>170</v>
      </c>
      <c r="C55" s="23">
        <v>10691</v>
      </c>
      <c r="D55" s="1">
        <v>44634</v>
      </c>
      <c r="E55" s="1" t="str">
        <f>PROPER(TEXT(Tabela1[[#This Row],[Data]],"dddd"))</f>
        <v>Segunda-Feira</v>
      </c>
      <c r="F55" s="21">
        <v>0.71527777777777779</v>
      </c>
      <c r="G55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55" t="s">
        <v>171</v>
      </c>
      <c r="I55" s="2" t="s">
        <v>23</v>
      </c>
      <c r="J55" t="s">
        <v>33</v>
      </c>
      <c r="K55" t="s">
        <v>34</v>
      </c>
      <c r="L55" t="s">
        <v>35</v>
      </c>
      <c r="M55" t="s">
        <v>172</v>
      </c>
      <c r="N55" t="s">
        <v>28</v>
      </c>
      <c r="O55" s="2">
        <v>5</v>
      </c>
      <c r="P55" t="s">
        <v>29</v>
      </c>
      <c r="Q55" s="2">
        <v>2</v>
      </c>
      <c r="R55" s="2">
        <v>9</v>
      </c>
      <c r="S55" s="6">
        <f>Tabela1[[#This Row],[Experiência Anos]]+(Tabela1[[#This Row],[Experiência Meses]]/12)</f>
        <v>2.75</v>
      </c>
      <c r="T55" s="2" t="s">
        <v>30</v>
      </c>
      <c r="U55" s="2" t="s">
        <v>30</v>
      </c>
      <c r="V55" s="2" t="s">
        <v>23</v>
      </c>
      <c r="W55" s="2" t="s">
        <v>23</v>
      </c>
      <c r="X55" s="2" t="s">
        <v>30</v>
      </c>
    </row>
    <row r="56" spans="1:24">
      <c r="A56" s="3"/>
      <c r="B56" t="s">
        <v>173</v>
      </c>
      <c r="C56" s="23">
        <v>11293</v>
      </c>
      <c r="D56" s="1">
        <v>44642</v>
      </c>
      <c r="E56" s="1" t="str">
        <f>PROPER(TEXT(Tabela1[[#This Row],[Data]],"dddd"))</f>
        <v>Terça-Feira</v>
      </c>
      <c r="F56" s="21">
        <v>0.3263888888888889</v>
      </c>
      <c r="G56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56" t="s">
        <v>174</v>
      </c>
      <c r="I56" s="2" t="s">
        <v>23</v>
      </c>
      <c r="J56" t="s">
        <v>24</v>
      </c>
      <c r="K56" t="s">
        <v>25</v>
      </c>
      <c r="L56" t="s">
        <v>26</v>
      </c>
      <c r="M56" t="s">
        <v>45</v>
      </c>
      <c r="N56" t="s">
        <v>28</v>
      </c>
      <c r="O56" s="2">
        <v>4</v>
      </c>
      <c r="P56" t="s">
        <v>29</v>
      </c>
      <c r="Q56" s="2">
        <v>0</v>
      </c>
      <c r="R56" s="2">
        <v>3</v>
      </c>
      <c r="S56" s="6">
        <f>Tabela1[[#This Row],[Experiência Anos]]+(Tabela1[[#This Row],[Experiência Meses]]/12)</f>
        <v>0.25</v>
      </c>
      <c r="T56" s="2" t="s">
        <v>30</v>
      </c>
      <c r="U56" s="2" t="s">
        <v>23</v>
      </c>
      <c r="V56" s="2" t="s">
        <v>23</v>
      </c>
      <c r="W56" s="2" t="s">
        <v>23</v>
      </c>
      <c r="X56" s="2" t="s">
        <v>23</v>
      </c>
    </row>
    <row r="57" spans="1:24">
      <c r="A57" s="3"/>
      <c r="B57" t="s">
        <v>175</v>
      </c>
      <c r="C57" s="23">
        <v>10960</v>
      </c>
      <c r="D57" s="1">
        <v>44645</v>
      </c>
      <c r="E57" s="1" t="str">
        <f>PROPER(TEXT(Tabela1[[#This Row],[Data]],"dddd"))</f>
        <v>Sexta-Feira</v>
      </c>
      <c r="F57" s="21">
        <v>0.3611111111111111</v>
      </c>
      <c r="G5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57" t="s">
        <v>176</v>
      </c>
      <c r="I57" s="2" t="s">
        <v>23</v>
      </c>
      <c r="J57" t="s">
        <v>49</v>
      </c>
      <c r="K57" t="s">
        <v>50</v>
      </c>
      <c r="L57" t="s">
        <v>51</v>
      </c>
      <c r="M57" t="s">
        <v>177</v>
      </c>
      <c r="N57" t="s">
        <v>28</v>
      </c>
      <c r="O57" s="2">
        <v>5</v>
      </c>
      <c r="P57" t="s">
        <v>46</v>
      </c>
      <c r="Q57" s="2">
        <v>1</v>
      </c>
      <c r="R57" s="2">
        <v>2</v>
      </c>
      <c r="S57" s="6">
        <f>Tabela1[[#This Row],[Experiência Anos]]+(Tabela1[[#This Row],[Experiência Meses]]/12)</f>
        <v>1.1666666666666667</v>
      </c>
      <c r="T57" s="2" t="s">
        <v>30</v>
      </c>
      <c r="U57" s="2" t="s">
        <v>23</v>
      </c>
      <c r="V57" s="2" t="s">
        <v>23</v>
      </c>
      <c r="W57" s="2" t="s">
        <v>30</v>
      </c>
      <c r="X57" s="2" t="s">
        <v>30</v>
      </c>
    </row>
    <row r="58" spans="1:24">
      <c r="A58" s="3"/>
      <c r="B58" t="s">
        <v>178</v>
      </c>
      <c r="C58" s="23">
        <v>10473</v>
      </c>
      <c r="D58" s="1">
        <v>44648</v>
      </c>
      <c r="E58" s="1" t="str">
        <f>PROPER(TEXT(Tabela1[[#This Row],[Data]],"dddd"))</f>
        <v>Segunda-Feira</v>
      </c>
      <c r="F58" s="21">
        <v>0.81944444444444442</v>
      </c>
      <c r="G58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58" t="s">
        <v>179</v>
      </c>
      <c r="I58" s="2" t="s">
        <v>23</v>
      </c>
      <c r="J58" t="s">
        <v>180</v>
      </c>
      <c r="K58" t="s">
        <v>181</v>
      </c>
      <c r="L58" t="s">
        <v>182</v>
      </c>
      <c r="M58" t="s">
        <v>183</v>
      </c>
      <c r="N58" t="s">
        <v>101</v>
      </c>
      <c r="O58" s="2">
        <v>10</v>
      </c>
      <c r="P58" t="s">
        <v>46</v>
      </c>
      <c r="Q58" s="2">
        <v>3</v>
      </c>
      <c r="R58" s="2">
        <v>1</v>
      </c>
      <c r="S58" s="6">
        <f>Tabela1[[#This Row],[Experiência Anos]]+(Tabela1[[#This Row],[Experiência Meses]]/12)</f>
        <v>3.0833333333333335</v>
      </c>
      <c r="T58" s="2" t="s">
        <v>23</v>
      </c>
      <c r="U58" s="2" t="s">
        <v>23</v>
      </c>
      <c r="V58" s="2" t="s">
        <v>23</v>
      </c>
      <c r="W58" s="2" t="s">
        <v>30</v>
      </c>
      <c r="X58" s="2" t="s">
        <v>30</v>
      </c>
    </row>
    <row r="59" spans="1:24">
      <c r="A59" s="3"/>
      <c r="B59" t="s">
        <v>184</v>
      </c>
      <c r="C59" s="23">
        <v>10728</v>
      </c>
      <c r="D59" s="1">
        <v>44651</v>
      </c>
      <c r="E59" s="1" t="str">
        <f>PROPER(TEXT(Tabela1[[#This Row],[Data]],"dddd"))</f>
        <v>Quinta-Feira</v>
      </c>
      <c r="F59" s="21">
        <v>0.45208333333333334</v>
      </c>
      <c r="G59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59" t="s">
        <v>185</v>
      </c>
      <c r="I59" s="2" t="s">
        <v>23</v>
      </c>
      <c r="J59" t="s">
        <v>24</v>
      </c>
      <c r="K59" t="s">
        <v>25</v>
      </c>
      <c r="L59" t="s">
        <v>26</v>
      </c>
      <c r="M59" t="s">
        <v>56</v>
      </c>
      <c r="N59" t="s">
        <v>28</v>
      </c>
      <c r="O59" s="2">
        <v>14</v>
      </c>
      <c r="P59" t="s">
        <v>29</v>
      </c>
      <c r="Q59" s="2">
        <v>2</v>
      </c>
      <c r="R59" s="2">
        <v>1</v>
      </c>
      <c r="S59" s="6">
        <f>Tabela1[[#This Row],[Experiência Anos]]+(Tabela1[[#This Row],[Experiência Meses]]/12)</f>
        <v>2.0833333333333335</v>
      </c>
      <c r="T59" s="2" t="s">
        <v>30</v>
      </c>
      <c r="U59" s="2" t="s">
        <v>30</v>
      </c>
      <c r="V59" s="2" t="s">
        <v>23</v>
      </c>
      <c r="W59" s="2" t="s">
        <v>23</v>
      </c>
      <c r="X59" s="2" t="s">
        <v>23</v>
      </c>
    </row>
    <row r="60" spans="1:24">
      <c r="A60" s="3"/>
      <c r="B60" t="s">
        <v>186</v>
      </c>
      <c r="C60" s="23">
        <v>10574</v>
      </c>
      <c r="D60" s="1">
        <v>44680</v>
      </c>
      <c r="E60" s="1" t="str">
        <f>PROPER(TEXT(Tabela1[[#This Row],[Data]],"dddd"))</f>
        <v>Sexta-Feira</v>
      </c>
      <c r="F60" s="21">
        <v>0.56944444444444442</v>
      </c>
      <c r="G60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60" t="s">
        <v>187</v>
      </c>
      <c r="I60" s="2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s="2">
        <v>10</v>
      </c>
      <c r="P60" t="s">
        <v>139</v>
      </c>
      <c r="Q60" s="2">
        <v>2</v>
      </c>
      <c r="R60" s="2">
        <v>10</v>
      </c>
      <c r="S60" s="6">
        <f>Tabela1[[#This Row],[Experiência Anos]]+(Tabela1[[#This Row],[Experiência Meses]]/12)</f>
        <v>2.8333333333333335</v>
      </c>
      <c r="T60" s="2" t="s">
        <v>30</v>
      </c>
      <c r="U60" s="2" t="s">
        <v>30</v>
      </c>
      <c r="V60" s="2" t="s">
        <v>23</v>
      </c>
      <c r="W60" s="2" t="s">
        <v>23</v>
      </c>
      <c r="X60" s="2" t="s">
        <v>23</v>
      </c>
    </row>
    <row r="61" spans="1:24">
      <c r="A61" s="3"/>
      <c r="B61" t="s">
        <v>188</v>
      </c>
      <c r="C61" s="23">
        <v>11165</v>
      </c>
      <c r="D61" s="1">
        <v>44680</v>
      </c>
      <c r="E61" s="1" t="str">
        <f>PROPER(TEXT(Tabela1[[#This Row],[Data]],"dddd"))</f>
        <v>Sexta-Feira</v>
      </c>
      <c r="F61" s="21">
        <v>0.56944444444444442</v>
      </c>
      <c r="G6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61" t="s">
        <v>189</v>
      </c>
      <c r="I61" s="2" t="s">
        <v>23</v>
      </c>
      <c r="J61" t="s">
        <v>24</v>
      </c>
      <c r="K61" t="s">
        <v>25</v>
      </c>
      <c r="L61" t="s">
        <v>26</v>
      </c>
      <c r="M61" t="s">
        <v>45</v>
      </c>
      <c r="N61" t="s">
        <v>28</v>
      </c>
      <c r="O61" s="2">
        <v>5</v>
      </c>
      <c r="P61" t="s">
        <v>139</v>
      </c>
      <c r="Q61" s="2">
        <v>9</v>
      </c>
      <c r="R61" s="2">
        <v>0</v>
      </c>
      <c r="S61" s="6">
        <f>Tabela1[[#This Row],[Experiência Anos]]+(Tabela1[[#This Row],[Experiência Meses]]/12)</f>
        <v>9</v>
      </c>
      <c r="T61" s="2" t="s">
        <v>30</v>
      </c>
      <c r="U61" s="2" t="s">
        <v>23</v>
      </c>
      <c r="V61" s="2" t="s">
        <v>30</v>
      </c>
      <c r="W61" s="2" t="s">
        <v>23</v>
      </c>
      <c r="X61" s="2" t="s">
        <v>30</v>
      </c>
    </row>
    <row r="62" spans="1:24">
      <c r="A62" s="3"/>
      <c r="B62" t="s">
        <v>190</v>
      </c>
      <c r="C62" s="23">
        <v>10120</v>
      </c>
      <c r="D62" s="1">
        <v>44690</v>
      </c>
      <c r="E62" s="1" t="str">
        <f>PROPER(TEXT(Tabela1[[#This Row],[Data]],"dddd"))</f>
        <v>Segunda-Feira</v>
      </c>
      <c r="F62" s="21">
        <v>0.64236111111111116</v>
      </c>
      <c r="G6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62" t="s">
        <v>191</v>
      </c>
      <c r="I62" s="2" t="s">
        <v>23</v>
      </c>
      <c r="J62" t="s">
        <v>49</v>
      </c>
      <c r="K62" t="s">
        <v>50</v>
      </c>
      <c r="L62" t="s">
        <v>51</v>
      </c>
      <c r="M62" t="s">
        <v>56</v>
      </c>
      <c r="N62" t="s">
        <v>28</v>
      </c>
      <c r="O62" s="2">
        <v>8</v>
      </c>
      <c r="P62" t="s">
        <v>29</v>
      </c>
      <c r="Q62" s="2">
        <v>5</v>
      </c>
      <c r="R62" s="2">
        <v>1</v>
      </c>
      <c r="S62" s="6">
        <f>Tabela1[[#This Row],[Experiência Anos]]+(Tabela1[[#This Row],[Experiência Meses]]/12)</f>
        <v>5.083333333333333</v>
      </c>
      <c r="T62" s="2" t="s">
        <v>23</v>
      </c>
      <c r="U62" s="2" t="s">
        <v>23</v>
      </c>
      <c r="V62" s="2" t="s">
        <v>23</v>
      </c>
      <c r="W62" s="2" t="s">
        <v>23</v>
      </c>
      <c r="X62" s="2" t="s">
        <v>30</v>
      </c>
    </row>
    <row r="63" spans="1:24">
      <c r="A63" s="3"/>
      <c r="B63" t="s">
        <v>192</v>
      </c>
      <c r="C63" s="23">
        <v>10666</v>
      </c>
      <c r="D63" s="1">
        <v>44690</v>
      </c>
      <c r="E63" s="1" t="str">
        <f>PROPER(TEXT(Tabela1[[#This Row],[Data]],"dddd"))</f>
        <v>Segunda-Feira</v>
      </c>
      <c r="F63" s="21">
        <v>0.35069444444444442</v>
      </c>
      <c r="G6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63" t="s">
        <v>193</v>
      </c>
      <c r="I63" s="2" t="s">
        <v>23</v>
      </c>
      <c r="J63" t="s">
        <v>24</v>
      </c>
      <c r="K63" t="s">
        <v>25</v>
      </c>
      <c r="L63" t="s">
        <v>26</v>
      </c>
      <c r="M63" t="s">
        <v>45</v>
      </c>
      <c r="N63" t="s">
        <v>28</v>
      </c>
      <c r="O63" s="2">
        <v>7</v>
      </c>
      <c r="P63" t="s">
        <v>29</v>
      </c>
      <c r="Q63" s="2">
        <v>2</v>
      </c>
      <c r="R63" s="2">
        <v>6</v>
      </c>
      <c r="S63" s="6">
        <f>Tabela1[[#This Row],[Experiência Anos]]+(Tabela1[[#This Row],[Experiência Meses]]/12)</f>
        <v>2.5</v>
      </c>
      <c r="T63" s="2" t="s">
        <v>30</v>
      </c>
      <c r="U63" s="2" t="s">
        <v>23</v>
      </c>
      <c r="V63" s="2" t="s">
        <v>23</v>
      </c>
      <c r="W63" s="2" t="s">
        <v>23</v>
      </c>
      <c r="X63" s="2" t="s">
        <v>23</v>
      </c>
    </row>
    <row r="64" spans="1:24">
      <c r="A64" s="3"/>
      <c r="B64" t="s">
        <v>194</v>
      </c>
      <c r="C64" s="23">
        <v>11067</v>
      </c>
      <c r="D64" s="1">
        <v>44694</v>
      </c>
      <c r="E64" s="1" t="str">
        <f>PROPER(TEXT(Tabela1[[#This Row],[Data]],"dddd"))</f>
        <v>Sexta-Feira</v>
      </c>
      <c r="F64" s="21">
        <v>0.59375</v>
      </c>
      <c r="G64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64" t="s">
        <v>195</v>
      </c>
      <c r="I64" s="2" t="s">
        <v>30</v>
      </c>
      <c r="J64" t="s">
        <v>49</v>
      </c>
      <c r="K64" t="s">
        <v>50</v>
      </c>
      <c r="L64" t="s">
        <v>51</v>
      </c>
      <c r="M64" t="s">
        <v>56</v>
      </c>
      <c r="N64" t="s">
        <v>28</v>
      </c>
      <c r="O64" s="2">
        <v>15</v>
      </c>
      <c r="P64" t="s">
        <v>29</v>
      </c>
      <c r="Q64" s="2">
        <v>1</v>
      </c>
      <c r="R64" s="2">
        <v>0</v>
      </c>
      <c r="S64" s="6">
        <f>Tabela1[[#This Row],[Experiência Anos]]+(Tabela1[[#This Row],[Experiência Meses]]/12)</f>
        <v>1</v>
      </c>
      <c r="T64" s="2" t="s">
        <v>30</v>
      </c>
      <c r="U64" s="2" t="s">
        <v>30</v>
      </c>
      <c r="V64" s="2" t="s">
        <v>23</v>
      </c>
      <c r="W64" s="2" t="s">
        <v>30</v>
      </c>
      <c r="X64" s="2" t="s">
        <v>30</v>
      </c>
    </row>
    <row r="65" spans="1:24">
      <c r="A65" s="3"/>
      <c r="B65" t="s">
        <v>196</v>
      </c>
      <c r="C65" s="23">
        <v>10269</v>
      </c>
      <c r="D65" s="1">
        <v>44705</v>
      </c>
      <c r="E65" s="1" t="str">
        <f>PROPER(TEXT(Tabela1[[#This Row],[Data]],"dddd"))</f>
        <v>Terça-Feira</v>
      </c>
      <c r="F65" s="21">
        <v>0.41666666666666669</v>
      </c>
      <c r="G65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65" t="s">
        <v>197</v>
      </c>
      <c r="I65" s="2" t="s">
        <v>23</v>
      </c>
      <c r="J65" t="s">
        <v>49</v>
      </c>
      <c r="K65" t="s">
        <v>50</v>
      </c>
      <c r="L65" t="s">
        <v>51</v>
      </c>
      <c r="M65" t="s">
        <v>27</v>
      </c>
      <c r="N65" t="s">
        <v>28</v>
      </c>
      <c r="O65" s="2">
        <v>14</v>
      </c>
      <c r="P65" t="s">
        <v>29</v>
      </c>
      <c r="Q65" s="2">
        <v>4</v>
      </c>
      <c r="R65" s="2">
        <v>5</v>
      </c>
      <c r="S65" s="6">
        <f>Tabela1[[#This Row],[Experiência Anos]]+(Tabela1[[#This Row],[Experiência Meses]]/12)</f>
        <v>4.416666666666667</v>
      </c>
      <c r="T65" s="2" t="s">
        <v>30</v>
      </c>
      <c r="U65" s="2" t="s">
        <v>30</v>
      </c>
      <c r="V65" s="2" t="s">
        <v>23</v>
      </c>
      <c r="W65" s="2" t="s">
        <v>30</v>
      </c>
      <c r="X65" s="2" t="s">
        <v>30</v>
      </c>
    </row>
    <row r="66" spans="1:24">
      <c r="A66" s="3"/>
      <c r="B66" t="s">
        <v>198</v>
      </c>
      <c r="C66" s="23">
        <v>11216</v>
      </c>
      <c r="D66" s="1">
        <v>44708</v>
      </c>
      <c r="E66" s="1" t="str">
        <f>PROPER(TEXT(Tabela1[[#This Row],[Data]],"dddd"))</f>
        <v>Sexta-Feira</v>
      </c>
      <c r="F66" s="21">
        <v>0.52777777777777779</v>
      </c>
      <c r="G6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66" t="s">
        <v>199</v>
      </c>
      <c r="I66" s="2" t="s">
        <v>23</v>
      </c>
      <c r="J66" t="s">
        <v>49</v>
      </c>
      <c r="K66" t="s">
        <v>148</v>
      </c>
      <c r="L66" t="s">
        <v>149</v>
      </c>
      <c r="M66" t="s">
        <v>200</v>
      </c>
      <c r="N66" t="s">
        <v>28</v>
      </c>
      <c r="O66" s="2">
        <v>5</v>
      </c>
      <c r="P66" t="s">
        <v>29</v>
      </c>
      <c r="Q66" s="2">
        <v>0</v>
      </c>
      <c r="R66" s="2">
        <v>8</v>
      </c>
      <c r="S66" s="6">
        <f>Tabela1[[#This Row],[Experiência Anos]]+(Tabela1[[#This Row],[Experiência Meses]]/12)</f>
        <v>0.66666666666666663</v>
      </c>
      <c r="T66" s="2" t="s">
        <v>23</v>
      </c>
      <c r="U66" s="2" t="s">
        <v>23</v>
      </c>
      <c r="V66" s="2" t="s">
        <v>23</v>
      </c>
      <c r="W66" s="2" t="s">
        <v>30</v>
      </c>
      <c r="X66" s="2" t="s">
        <v>30</v>
      </c>
    </row>
    <row r="67" spans="1:24">
      <c r="A67" s="3"/>
      <c r="B67" t="s">
        <v>201</v>
      </c>
      <c r="C67" s="23">
        <v>10120</v>
      </c>
      <c r="D67" s="1">
        <v>44713</v>
      </c>
      <c r="E67" s="1" t="str">
        <f>PROPER(TEXT(Tabela1[[#This Row],[Data]],"dddd"))</f>
        <v>Quarta-Feira</v>
      </c>
      <c r="F67" s="21">
        <v>0.46180555555555558</v>
      </c>
      <c r="G6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67" t="s">
        <v>191</v>
      </c>
      <c r="I67" s="2" t="s">
        <v>23</v>
      </c>
      <c r="J67" t="s">
        <v>49</v>
      </c>
      <c r="K67" t="s">
        <v>50</v>
      </c>
      <c r="L67" t="s">
        <v>51</v>
      </c>
      <c r="M67" t="s">
        <v>56</v>
      </c>
      <c r="N67" t="s">
        <v>28</v>
      </c>
      <c r="O67" s="2">
        <v>10</v>
      </c>
      <c r="P67" t="s">
        <v>29</v>
      </c>
      <c r="Q67" s="2">
        <v>5</v>
      </c>
      <c r="R67" s="2">
        <v>1</v>
      </c>
      <c r="S67" s="6">
        <f>Tabela1[[#This Row],[Experiência Anos]]+(Tabela1[[#This Row],[Experiência Meses]]/12)</f>
        <v>5.083333333333333</v>
      </c>
      <c r="T67" s="2" t="s">
        <v>30</v>
      </c>
      <c r="U67" s="2" t="s">
        <v>30</v>
      </c>
      <c r="V67" s="2" t="s">
        <v>23</v>
      </c>
      <c r="W67" s="2" t="s">
        <v>30</v>
      </c>
      <c r="X67" s="2" t="s">
        <v>30</v>
      </c>
    </row>
    <row r="68" spans="1:24">
      <c r="A68" s="3"/>
      <c r="B68" t="s">
        <v>202</v>
      </c>
      <c r="C68" s="23">
        <v>10595</v>
      </c>
      <c r="D68" s="1">
        <v>44725</v>
      </c>
      <c r="E68" s="1" t="str">
        <f>PROPER(TEXT(Tabela1[[#This Row],[Data]],"dddd"))</f>
        <v>Segunda-Feira</v>
      </c>
      <c r="F68" s="21">
        <v>0.65972222222222221</v>
      </c>
      <c r="G6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68" t="s">
        <v>203</v>
      </c>
      <c r="I68" s="2" t="s">
        <v>23</v>
      </c>
      <c r="J68" t="s">
        <v>39</v>
      </c>
      <c r="K68" t="s">
        <v>40</v>
      </c>
      <c r="L68" t="s">
        <v>41</v>
      </c>
      <c r="M68" t="s">
        <v>42</v>
      </c>
      <c r="N68" t="s">
        <v>28</v>
      </c>
      <c r="O68" s="2">
        <v>3</v>
      </c>
      <c r="P68" t="s">
        <v>29</v>
      </c>
      <c r="Q68" s="2">
        <v>2</v>
      </c>
      <c r="R68" s="2">
        <v>10</v>
      </c>
      <c r="S68" s="6">
        <f>Tabela1[[#This Row],[Experiência Anos]]+(Tabela1[[#This Row],[Experiência Meses]]/12)</f>
        <v>2.8333333333333335</v>
      </c>
      <c r="T68" s="2" t="s">
        <v>23</v>
      </c>
      <c r="U68" s="2" t="s">
        <v>23</v>
      </c>
      <c r="V68" s="2" t="s">
        <v>23</v>
      </c>
      <c r="W68" s="2" t="s">
        <v>30</v>
      </c>
      <c r="X68" s="2" t="s">
        <v>30</v>
      </c>
    </row>
    <row r="69" spans="1:24">
      <c r="A69" s="3"/>
      <c r="B69" t="s">
        <v>204</v>
      </c>
      <c r="C69" s="23">
        <v>8797</v>
      </c>
      <c r="D69" s="1">
        <v>44742</v>
      </c>
      <c r="E69" s="1" t="str">
        <f>PROPER(TEXT(Tabela1[[#This Row],[Data]],"dddd"))</f>
        <v>Quinta-Feira</v>
      </c>
      <c r="F69" s="21">
        <v>0.3125</v>
      </c>
      <c r="G69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69" t="s">
        <v>205</v>
      </c>
      <c r="I69" s="2" t="s">
        <v>23</v>
      </c>
      <c r="J69" t="s">
        <v>49</v>
      </c>
      <c r="K69" t="s">
        <v>75</v>
      </c>
      <c r="L69" t="s">
        <v>76</v>
      </c>
      <c r="M69" t="s">
        <v>77</v>
      </c>
      <c r="N69" t="s">
        <v>28</v>
      </c>
      <c r="O69" s="2">
        <v>3</v>
      </c>
      <c r="P69" t="s">
        <v>206</v>
      </c>
      <c r="Q69" s="2">
        <v>10</v>
      </c>
      <c r="R69" s="2">
        <v>1</v>
      </c>
      <c r="S69" s="6">
        <f>Tabela1[[#This Row],[Experiência Anos]]+(Tabela1[[#This Row],[Experiência Meses]]/12)</f>
        <v>10.083333333333334</v>
      </c>
      <c r="T69" s="2" t="s">
        <v>30</v>
      </c>
      <c r="U69" s="2" t="s">
        <v>23</v>
      </c>
      <c r="V69" s="2" t="s">
        <v>23</v>
      </c>
      <c r="W69" s="2" t="s">
        <v>30</v>
      </c>
      <c r="X69" s="2" t="s">
        <v>30</v>
      </c>
    </row>
    <row r="70" spans="1:24">
      <c r="A70" s="3"/>
      <c r="B70" t="s">
        <v>207</v>
      </c>
      <c r="C70" s="23">
        <v>954</v>
      </c>
      <c r="D70" s="1">
        <v>44764</v>
      </c>
      <c r="E70" s="1" t="str">
        <f>PROPER(TEXT(Tabela1[[#This Row],[Data]],"dddd"))</f>
        <v>Sexta-Feira</v>
      </c>
      <c r="F70" s="21">
        <v>0.55555555555555558</v>
      </c>
      <c r="G70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70" t="s">
        <v>208</v>
      </c>
      <c r="I70" s="2" t="s">
        <v>23</v>
      </c>
      <c r="J70" t="s">
        <v>49</v>
      </c>
      <c r="K70" t="s">
        <v>75</v>
      </c>
      <c r="L70" t="s">
        <v>76</v>
      </c>
      <c r="M70" t="s">
        <v>163</v>
      </c>
      <c r="N70" t="s">
        <v>28</v>
      </c>
      <c r="O70" s="2">
        <v>8</v>
      </c>
      <c r="P70" t="s">
        <v>87</v>
      </c>
      <c r="Q70" s="2">
        <v>16</v>
      </c>
      <c r="R70" s="2">
        <v>10</v>
      </c>
      <c r="S70" s="6">
        <f>Tabela1[[#This Row],[Experiência Anos]]+(Tabela1[[#This Row],[Experiência Meses]]/12)</f>
        <v>16.833333333333332</v>
      </c>
      <c r="T70" s="2" t="s">
        <v>30</v>
      </c>
      <c r="U70" s="2" t="s">
        <v>23</v>
      </c>
      <c r="V70" s="2" t="s">
        <v>23</v>
      </c>
      <c r="W70" s="2" t="s">
        <v>30</v>
      </c>
      <c r="X70" s="2" t="s">
        <v>23</v>
      </c>
    </row>
    <row r="71" spans="1:24">
      <c r="A71" s="3"/>
      <c r="B71" t="s">
        <v>209</v>
      </c>
      <c r="C71" s="23">
        <v>9250</v>
      </c>
      <c r="D71" s="1">
        <v>44766</v>
      </c>
      <c r="E71" s="1" t="str">
        <f>PROPER(TEXT(Tabela1[[#This Row],[Data]],"dddd"))</f>
        <v>Domingo</v>
      </c>
      <c r="F71" s="21">
        <v>0.28125</v>
      </c>
      <c r="G71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71" t="s">
        <v>210</v>
      </c>
      <c r="I71" s="2" t="s">
        <v>30</v>
      </c>
      <c r="J71" t="s">
        <v>49</v>
      </c>
      <c r="K71" t="s">
        <v>211</v>
      </c>
      <c r="L71" t="s">
        <v>212</v>
      </c>
      <c r="M71" t="s">
        <v>213</v>
      </c>
      <c r="N71" t="s">
        <v>101</v>
      </c>
      <c r="O71" s="2">
        <v>15</v>
      </c>
      <c r="P71" t="s">
        <v>70</v>
      </c>
      <c r="Q71" s="2">
        <v>8</v>
      </c>
      <c r="R71" s="2">
        <v>8</v>
      </c>
      <c r="S71" s="6">
        <f>Tabela1[[#This Row],[Experiência Anos]]+(Tabela1[[#This Row],[Experiência Meses]]/12)</f>
        <v>8.6666666666666661</v>
      </c>
      <c r="T71" s="2" t="s">
        <v>23</v>
      </c>
      <c r="U71" s="2" t="s">
        <v>23</v>
      </c>
      <c r="V71" s="2" t="s">
        <v>23</v>
      </c>
      <c r="W71" s="2" t="s">
        <v>30</v>
      </c>
      <c r="X71" s="2" t="s">
        <v>30</v>
      </c>
    </row>
    <row r="72" spans="1:24">
      <c r="A72" s="3"/>
      <c r="B72" t="s">
        <v>214</v>
      </c>
      <c r="C72" s="23">
        <v>11325</v>
      </c>
      <c r="D72" s="1">
        <v>44774</v>
      </c>
      <c r="E72" s="1" t="str">
        <f>PROPER(TEXT(Tabela1[[#This Row],[Data]],"dddd"))</f>
        <v>Segunda-Feira</v>
      </c>
      <c r="F72" s="21">
        <v>0.59236111111111112</v>
      </c>
      <c r="G7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72" t="s">
        <v>215</v>
      </c>
      <c r="I72" s="2" t="s">
        <v>23</v>
      </c>
      <c r="J72" t="s">
        <v>49</v>
      </c>
      <c r="K72" t="s">
        <v>50</v>
      </c>
      <c r="L72" t="s">
        <v>51</v>
      </c>
      <c r="M72" t="s">
        <v>45</v>
      </c>
      <c r="N72" t="s">
        <v>28</v>
      </c>
      <c r="O72" s="2">
        <v>15</v>
      </c>
      <c r="P72" t="s">
        <v>29</v>
      </c>
      <c r="Q72" s="2">
        <v>0</v>
      </c>
      <c r="R72" s="2">
        <v>6</v>
      </c>
      <c r="S72" s="6">
        <f>Tabela1[[#This Row],[Experiência Anos]]+(Tabela1[[#This Row],[Experiência Meses]]/12)</f>
        <v>0.5</v>
      </c>
      <c r="T72" s="2" t="s">
        <v>23</v>
      </c>
      <c r="U72" s="2" t="s">
        <v>30</v>
      </c>
      <c r="V72" s="2" t="s">
        <v>30</v>
      </c>
      <c r="W72" s="2" t="s">
        <v>23</v>
      </c>
      <c r="X72" s="2" t="s">
        <v>30</v>
      </c>
    </row>
    <row r="73" spans="1:24">
      <c r="A73" s="3"/>
      <c r="B73" t="s">
        <v>216</v>
      </c>
      <c r="C73" s="23">
        <v>8296</v>
      </c>
      <c r="D73" s="1">
        <v>44778</v>
      </c>
      <c r="E73" s="1" t="str">
        <f>PROPER(TEXT(Tabela1[[#This Row],[Data]],"dddd"))</f>
        <v>Sexta-Feira</v>
      </c>
      <c r="F73" s="21">
        <v>0.59583333333333333</v>
      </c>
      <c r="G73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73" t="s">
        <v>217</v>
      </c>
      <c r="I73" s="2" t="s">
        <v>23</v>
      </c>
      <c r="J73" t="s">
        <v>49</v>
      </c>
      <c r="K73" t="s">
        <v>50</v>
      </c>
      <c r="L73" t="s">
        <v>51</v>
      </c>
      <c r="M73" t="s">
        <v>56</v>
      </c>
      <c r="N73" t="s">
        <v>28</v>
      </c>
      <c r="O73" s="2">
        <v>10</v>
      </c>
      <c r="P73" t="s">
        <v>29</v>
      </c>
      <c r="Q73" s="2">
        <v>10</v>
      </c>
      <c r="R73" s="2">
        <v>5</v>
      </c>
      <c r="S73" s="6">
        <f>Tabela1[[#This Row],[Experiência Anos]]+(Tabela1[[#This Row],[Experiência Meses]]/12)</f>
        <v>10.416666666666666</v>
      </c>
      <c r="T73" s="2" t="s">
        <v>23</v>
      </c>
      <c r="U73" s="2" t="s">
        <v>23</v>
      </c>
      <c r="V73" s="2" t="s">
        <v>23</v>
      </c>
      <c r="W73" s="2" t="s">
        <v>30</v>
      </c>
      <c r="X73" s="2" t="s">
        <v>30</v>
      </c>
    </row>
    <row r="74" spans="1:24">
      <c r="A74" s="3"/>
      <c r="B74" t="s">
        <v>218</v>
      </c>
      <c r="C74" s="23">
        <v>8566</v>
      </c>
      <c r="D74" s="1">
        <v>44778</v>
      </c>
      <c r="E74" s="1" t="str">
        <f>PROPER(TEXT(Tabela1[[#This Row],[Data]],"dddd"))</f>
        <v>Sexta-Feira</v>
      </c>
      <c r="F74" s="21">
        <v>0.59583333333333333</v>
      </c>
      <c r="G74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74" t="s">
        <v>219</v>
      </c>
      <c r="I74" s="2" t="s">
        <v>23</v>
      </c>
      <c r="J74" t="s">
        <v>49</v>
      </c>
      <c r="K74" t="s">
        <v>211</v>
      </c>
      <c r="L74" t="s">
        <v>212</v>
      </c>
      <c r="M74" t="s">
        <v>220</v>
      </c>
      <c r="N74" t="s">
        <v>28</v>
      </c>
      <c r="O74" s="2">
        <v>7</v>
      </c>
      <c r="P74" t="s">
        <v>29</v>
      </c>
      <c r="Q74" s="2">
        <v>10</v>
      </c>
      <c r="R74" s="2">
        <v>9</v>
      </c>
      <c r="S74" s="6">
        <f>Tabela1[[#This Row],[Experiência Anos]]+(Tabela1[[#This Row],[Experiência Meses]]/12)</f>
        <v>10.75</v>
      </c>
      <c r="T74" s="2" t="s">
        <v>23</v>
      </c>
      <c r="U74" s="2" t="s">
        <v>23</v>
      </c>
      <c r="V74" s="2" t="s">
        <v>23</v>
      </c>
      <c r="W74" s="2" t="s">
        <v>30</v>
      </c>
      <c r="X74" s="2" t="s">
        <v>30</v>
      </c>
    </row>
    <row r="75" spans="1:24">
      <c r="A75" s="3"/>
      <c r="B75" t="s">
        <v>221</v>
      </c>
      <c r="C75" s="23">
        <v>11179</v>
      </c>
      <c r="D75" s="1">
        <v>44786</v>
      </c>
      <c r="E75" s="1" t="str">
        <f>PROPER(TEXT(Tabela1[[#This Row],[Data]],"dddd"))</f>
        <v>Sábado</v>
      </c>
      <c r="F75" s="21">
        <v>0.6875</v>
      </c>
      <c r="G75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75" t="s">
        <v>222</v>
      </c>
      <c r="I75" s="2" t="s">
        <v>23</v>
      </c>
      <c r="J75" t="s">
        <v>49</v>
      </c>
      <c r="K75" t="s">
        <v>50</v>
      </c>
      <c r="L75" t="s">
        <v>51</v>
      </c>
      <c r="M75" t="s">
        <v>27</v>
      </c>
      <c r="N75" t="s">
        <v>28</v>
      </c>
      <c r="O75" s="2">
        <v>7</v>
      </c>
      <c r="P75" t="s">
        <v>29</v>
      </c>
      <c r="Q75" s="2">
        <v>1</v>
      </c>
      <c r="R75" s="2">
        <v>0</v>
      </c>
      <c r="S75" s="6">
        <f>Tabela1[[#This Row],[Experiência Anos]]+(Tabela1[[#This Row],[Experiência Meses]]/12)</f>
        <v>1</v>
      </c>
      <c r="T75" s="2" t="s">
        <v>23</v>
      </c>
      <c r="U75" s="2" t="s">
        <v>30</v>
      </c>
      <c r="V75" s="2" t="s">
        <v>23</v>
      </c>
      <c r="W75" s="2" t="s">
        <v>30</v>
      </c>
      <c r="X75" s="2" t="s">
        <v>30</v>
      </c>
    </row>
    <row r="76" spans="1:24">
      <c r="A76" s="3"/>
      <c r="B76" t="s">
        <v>223</v>
      </c>
      <c r="C76" s="23">
        <v>11080</v>
      </c>
      <c r="D76" s="1">
        <v>44788</v>
      </c>
      <c r="E76" s="1" t="str">
        <f>PROPER(TEXT(Tabela1[[#This Row],[Data]],"dddd"))</f>
        <v>Segunda-Feira</v>
      </c>
      <c r="F76" s="21">
        <v>0.82291666666666663</v>
      </c>
      <c r="G76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76" t="s">
        <v>130</v>
      </c>
      <c r="I76" s="2" t="s">
        <v>23</v>
      </c>
      <c r="J76" t="s">
        <v>49</v>
      </c>
      <c r="K76" t="s">
        <v>50</v>
      </c>
      <c r="L76" t="s">
        <v>51</v>
      </c>
      <c r="M76" t="s">
        <v>56</v>
      </c>
      <c r="N76" t="s">
        <v>28</v>
      </c>
      <c r="O76" s="2">
        <v>3</v>
      </c>
      <c r="P76" t="s">
        <v>87</v>
      </c>
      <c r="Q76" s="2">
        <v>1</v>
      </c>
      <c r="R76" s="2">
        <v>2</v>
      </c>
      <c r="S76" s="6">
        <f>Tabela1[[#This Row],[Experiência Anos]]+(Tabela1[[#This Row],[Experiência Meses]]/12)</f>
        <v>1.1666666666666667</v>
      </c>
      <c r="T76" s="2" t="s">
        <v>30</v>
      </c>
      <c r="U76" s="2" t="s">
        <v>23</v>
      </c>
      <c r="V76" s="2" t="s">
        <v>23</v>
      </c>
      <c r="W76" s="2" t="s">
        <v>30</v>
      </c>
      <c r="X76" s="2" t="s">
        <v>30</v>
      </c>
    </row>
    <row r="77" spans="1:24">
      <c r="A77" s="3"/>
      <c r="B77" t="s">
        <v>224</v>
      </c>
      <c r="C77" s="23">
        <v>11273</v>
      </c>
      <c r="D77" s="1">
        <v>44791</v>
      </c>
      <c r="E77" s="1" t="str">
        <f>PROPER(TEXT(Tabela1[[#This Row],[Data]],"dddd"))</f>
        <v>Quinta-Feira</v>
      </c>
      <c r="F77" s="21">
        <v>0.36944444444444446</v>
      </c>
      <c r="G7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77" t="s">
        <v>225</v>
      </c>
      <c r="I77" s="2" t="s">
        <v>23</v>
      </c>
      <c r="J77" t="s">
        <v>49</v>
      </c>
      <c r="K77" t="s">
        <v>75</v>
      </c>
      <c r="L77" t="s">
        <v>76</v>
      </c>
      <c r="M77" t="s">
        <v>77</v>
      </c>
      <c r="N77" t="s">
        <v>28</v>
      </c>
      <c r="O77" s="2">
        <v>3</v>
      </c>
      <c r="P77" t="s">
        <v>29</v>
      </c>
      <c r="Q77" s="2">
        <v>0</v>
      </c>
      <c r="R77" s="2">
        <v>8</v>
      </c>
      <c r="S77" s="6">
        <f>Tabela1[[#This Row],[Experiência Anos]]+(Tabela1[[#This Row],[Experiência Meses]]/12)</f>
        <v>0.66666666666666663</v>
      </c>
      <c r="T77" s="2" t="s">
        <v>30</v>
      </c>
      <c r="U77" s="2" t="s">
        <v>30</v>
      </c>
      <c r="V77" s="2" t="s">
        <v>23</v>
      </c>
      <c r="W77" s="2" t="s">
        <v>30</v>
      </c>
      <c r="X77" s="2" t="s">
        <v>23</v>
      </c>
    </row>
    <row r="78" spans="1:24">
      <c r="A78" s="3"/>
      <c r="B78" t="s">
        <v>226</v>
      </c>
      <c r="C78" s="23">
        <v>11400</v>
      </c>
      <c r="D78" s="1">
        <v>44797</v>
      </c>
      <c r="E78" s="1" t="str">
        <f>PROPER(TEXT(Tabela1[[#This Row],[Data]],"dddd"))</f>
        <v>Quarta-Feira</v>
      </c>
      <c r="F78" s="21">
        <v>0.40625</v>
      </c>
      <c r="G78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78" t="s">
        <v>227</v>
      </c>
      <c r="I78" s="2" t="s">
        <v>23</v>
      </c>
      <c r="J78" t="s">
        <v>49</v>
      </c>
      <c r="K78" t="s">
        <v>50</v>
      </c>
      <c r="L78" t="s">
        <v>51</v>
      </c>
      <c r="M78" t="s">
        <v>45</v>
      </c>
      <c r="N78" t="s">
        <v>28</v>
      </c>
      <c r="O78" s="2">
        <v>8</v>
      </c>
      <c r="P78" t="s">
        <v>87</v>
      </c>
      <c r="Q78" s="2">
        <v>0</v>
      </c>
      <c r="R78" s="2">
        <v>3</v>
      </c>
      <c r="S78" s="6">
        <f>Tabela1[[#This Row],[Experiência Anos]]+(Tabela1[[#This Row],[Experiência Meses]]/12)</f>
        <v>0.25</v>
      </c>
      <c r="T78" s="2" t="s">
        <v>30</v>
      </c>
      <c r="U78" s="2" t="s">
        <v>30</v>
      </c>
      <c r="V78" s="2" t="s">
        <v>23</v>
      </c>
      <c r="W78" s="2" t="s">
        <v>30</v>
      </c>
      <c r="X78" s="2" t="s">
        <v>23</v>
      </c>
    </row>
    <row r="79" spans="1:24">
      <c r="A79" s="3"/>
      <c r="B79" t="s">
        <v>228</v>
      </c>
      <c r="C79" s="23">
        <v>11238</v>
      </c>
      <c r="D79" s="1">
        <v>44804</v>
      </c>
      <c r="E79" s="1" t="str">
        <f>PROPER(TEXT(Tabela1[[#This Row],[Data]],"dddd"))</f>
        <v>Quarta-Feira</v>
      </c>
      <c r="F79" s="21">
        <v>0.6875</v>
      </c>
      <c r="G79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79" t="s">
        <v>229</v>
      </c>
      <c r="I79" s="2" t="s">
        <v>23</v>
      </c>
      <c r="J79" t="s">
        <v>33</v>
      </c>
      <c r="K79" t="s">
        <v>34</v>
      </c>
      <c r="L79" t="s">
        <v>35</v>
      </c>
      <c r="M79" t="s">
        <v>42</v>
      </c>
      <c r="N79" t="s">
        <v>28</v>
      </c>
      <c r="O79" s="2">
        <v>5</v>
      </c>
      <c r="P79" t="s">
        <v>57</v>
      </c>
      <c r="Q79" s="2">
        <v>0</v>
      </c>
      <c r="R79" s="2">
        <v>9</v>
      </c>
      <c r="S79" s="6">
        <f>Tabela1[[#This Row],[Experiência Anos]]+(Tabela1[[#This Row],[Experiência Meses]]/12)</f>
        <v>0.75</v>
      </c>
      <c r="T79" s="2" t="s">
        <v>23</v>
      </c>
      <c r="U79" s="2" t="s">
        <v>23</v>
      </c>
      <c r="V79" s="2" t="s">
        <v>23</v>
      </c>
      <c r="W79" s="2" t="s">
        <v>30</v>
      </c>
      <c r="X79" s="2" t="s">
        <v>30</v>
      </c>
    </row>
    <row r="80" spans="1:24">
      <c r="A80" s="3"/>
      <c r="B80" t="s">
        <v>230</v>
      </c>
      <c r="C80" s="23">
        <v>10417</v>
      </c>
      <c r="D80" s="1">
        <v>44805</v>
      </c>
      <c r="E80" s="1" t="str">
        <f>PROPER(TEXT(Tabela1[[#This Row],[Data]],"dddd"))</f>
        <v>Quinta-Feira</v>
      </c>
      <c r="F80" s="21">
        <v>0.43611111111111112</v>
      </c>
      <c r="G80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80" t="s">
        <v>231</v>
      </c>
      <c r="I80" s="2" t="s">
        <v>23</v>
      </c>
      <c r="J80" t="s">
        <v>49</v>
      </c>
      <c r="K80" t="s">
        <v>50</v>
      </c>
      <c r="L80" t="s">
        <v>51</v>
      </c>
      <c r="M80" t="s">
        <v>45</v>
      </c>
      <c r="N80" t="s">
        <v>28</v>
      </c>
      <c r="O80" s="2">
        <v>7</v>
      </c>
      <c r="P80" t="s">
        <v>87</v>
      </c>
      <c r="Q80" s="2">
        <v>3</v>
      </c>
      <c r="R80" s="2">
        <v>10</v>
      </c>
      <c r="S80" s="6">
        <f>Tabela1[[#This Row],[Experiência Anos]]+(Tabela1[[#This Row],[Experiência Meses]]/12)</f>
        <v>3.8333333333333335</v>
      </c>
      <c r="T80" s="2" t="s">
        <v>30</v>
      </c>
      <c r="U80" s="2" t="s">
        <v>23</v>
      </c>
      <c r="V80" s="2" t="s">
        <v>23</v>
      </c>
      <c r="W80" s="2" t="s">
        <v>30</v>
      </c>
      <c r="X80" s="2" t="s">
        <v>30</v>
      </c>
    </row>
    <row r="81" spans="1:24">
      <c r="A81" s="3"/>
      <c r="B81" t="s">
        <v>232</v>
      </c>
      <c r="C81" s="23">
        <v>10910</v>
      </c>
      <c r="D81" s="1">
        <v>44810</v>
      </c>
      <c r="E81" s="1" t="str">
        <f>PROPER(TEXT(Tabela1[[#This Row],[Data]],"dddd"))</f>
        <v>Terça-Feira</v>
      </c>
      <c r="F81" s="21">
        <v>0.36944444444444446</v>
      </c>
      <c r="G81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81" t="s">
        <v>138</v>
      </c>
      <c r="I81" s="2" t="s">
        <v>23</v>
      </c>
      <c r="J81" t="s">
        <v>49</v>
      </c>
      <c r="K81" t="s">
        <v>50</v>
      </c>
      <c r="L81" t="s">
        <v>51</v>
      </c>
      <c r="M81" t="s">
        <v>56</v>
      </c>
      <c r="N81" t="s">
        <v>28</v>
      </c>
      <c r="O81" s="2">
        <v>14</v>
      </c>
      <c r="P81" t="s">
        <v>29</v>
      </c>
      <c r="Q81" s="2">
        <v>1</v>
      </c>
      <c r="R81" s="2">
        <v>10</v>
      </c>
      <c r="S81" s="6">
        <f>Tabela1[[#This Row],[Experiência Anos]]+(Tabela1[[#This Row],[Experiência Meses]]/12)</f>
        <v>1.8333333333333335</v>
      </c>
      <c r="T81" s="2" t="s">
        <v>23</v>
      </c>
      <c r="U81" s="2" t="s">
        <v>23</v>
      </c>
      <c r="V81" s="2" t="s">
        <v>23</v>
      </c>
      <c r="W81" s="2" t="s">
        <v>30</v>
      </c>
      <c r="X81" s="2" t="s">
        <v>30</v>
      </c>
    </row>
    <row r="82" spans="1:24">
      <c r="A82" s="3"/>
      <c r="B82" t="s">
        <v>233</v>
      </c>
      <c r="C82" s="23">
        <v>10720</v>
      </c>
      <c r="D82" s="1">
        <v>44816</v>
      </c>
      <c r="E82" s="1" t="str">
        <f>PROPER(TEXT(Tabela1[[#This Row],[Data]],"dddd"))</f>
        <v>Segunda-Feira</v>
      </c>
      <c r="F82" s="21">
        <v>0.54166666666666663</v>
      </c>
      <c r="G8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82" t="s">
        <v>234</v>
      </c>
      <c r="I82" s="2" t="s">
        <v>23</v>
      </c>
      <c r="J82" t="s">
        <v>39</v>
      </c>
      <c r="K82" t="s">
        <v>40</v>
      </c>
      <c r="L82" t="s">
        <v>41</v>
      </c>
      <c r="M82" t="s">
        <v>42</v>
      </c>
      <c r="N82" t="s">
        <v>28</v>
      </c>
      <c r="O82" s="2">
        <v>4</v>
      </c>
      <c r="P82" t="s">
        <v>29</v>
      </c>
      <c r="Q82" s="2">
        <v>2</v>
      </c>
      <c r="R82" s="2">
        <v>7</v>
      </c>
      <c r="S82" s="6">
        <f>Tabela1[[#This Row],[Experiência Anos]]+(Tabela1[[#This Row],[Experiência Meses]]/12)</f>
        <v>2.5833333333333335</v>
      </c>
      <c r="T82" s="2" t="s">
        <v>30</v>
      </c>
      <c r="U82" s="2" t="s">
        <v>30</v>
      </c>
      <c r="V82" s="2" t="s">
        <v>23</v>
      </c>
      <c r="W82" s="2" t="s">
        <v>30</v>
      </c>
      <c r="X82" s="2" t="s">
        <v>30</v>
      </c>
    </row>
    <row r="83" spans="1:24">
      <c r="A83" s="3"/>
      <c r="B83" t="s">
        <v>235</v>
      </c>
      <c r="C83" s="23">
        <v>11291</v>
      </c>
      <c r="D83" s="1">
        <v>44817</v>
      </c>
      <c r="E83" s="1" t="str">
        <f>PROPER(TEXT(Tabela1[[#This Row],[Data]],"dddd"))</f>
        <v>Terça-Feira</v>
      </c>
      <c r="F83" s="21">
        <v>0.8125</v>
      </c>
      <c r="G83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83" t="s">
        <v>236</v>
      </c>
      <c r="I83" s="2" t="s">
        <v>23</v>
      </c>
      <c r="J83" t="s">
        <v>49</v>
      </c>
      <c r="K83" t="s">
        <v>50</v>
      </c>
      <c r="L83" t="s">
        <v>51</v>
      </c>
      <c r="M83" t="s">
        <v>45</v>
      </c>
      <c r="N83" t="s">
        <v>28</v>
      </c>
      <c r="O83" s="2">
        <v>4</v>
      </c>
      <c r="P83" t="s">
        <v>29</v>
      </c>
      <c r="Q83" s="2">
        <v>0</v>
      </c>
      <c r="R83" s="2">
        <v>9</v>
      </c>
      <c r="S83" s="6">
        <f>Tabela1[[#This Row],[Experiência Anos]]+(Tabela1[[#This Row],[Experiência Meses]]/12)</f>
        <v>0.75</v>
      </c>
      <c r="T83" s="2" t="s">
        <v>30</v>
      </c>
      <c r="U83" s="2" t="s">
        <v>23</v>
      </c>
      <c r="V83" s="2" t="s">
        <v>30</v>
      </c>
      <c r="W83" s="2" t="s">
        <v>23</v>
      </c>
      <c r="X83" s="2" t="s">
        <v>30</v>
      </c>
    </row>
    <row r="84" spans="1:24">
      <c r="A84" s="3"/>
      <c r="B84" t="s">
        <v>237</v>
      </c>
      <c r="C84" s="23">
        <v>11290</v>
      </c>
      <c r="D84" s="1">
        <v>44818</v>
      </c>
      <c r="E84" s="1" t="str">
        <f>PROPER(TEXT(Tabela1[[#This Row],[Data]],"dddd"))</f>
        <v>Quarta-Feira</v>
      </c>
      <c r="F84" s="21">
        <v>0.34027777777777779</v>
      </c>
      <c r="G84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84" t="s">
        <v>238</v>
      </c>
      <c r="I84" s="2" t="s">
        <v>23</v>
      </c>
      <c r="J84" t="s">
        <v>49</v>
      </c>
      <c r="K84" t="s">
        <v>50</v>
      </c>
      <c r="L84" t="s">
        <v>51</v>
      </c>
      <c r="M84" t="s">
        <v>45</v>
      </c>
      <c r="N84" t="s">
        <v>28</v>
      </c>
      <c r="O84" s="2">
        <v>2</v>
      </c>
      <c r="P84" t="s">
        <v>78</v>
      </c>
      <c r="Q84" s="2">
        <v>0</v>
      </c>
      <c r="R84" s="2">
        <v>9</v>
      </c>
      <c r="S84" s="6">
        <f>Tabela1[[#This Row],[Experiência Anos]]+(Tabela1[[#This Row],[Experiência Meses]]/12)</f>
        <v>0.75</v>
      </c>
      <c r="T84" s="2" t="s">
        <v>30</v>
      </c>
      <c r="U84" s="2" t="s">
        <v>23</v>
      </c>
      <c r="V84" s="2" t="s">
        <v>23</v>
      </c>
      <c r="W84" s="2" t="s">
        <v>30</v>
      </c>
      <c r="X84" s="2" t="s">
        <v>30</v>
      </c>
    </row>
    <row r="85" spans="1:24">
      <c r="A85" s="3"/>
      <c r="B85" t="s">
        <v>239</v>
      </c>
      <c r="C85" s="23">
        <v>459</v>
      </c>
      <c r="D85" s="1">
        <v>44855</v>
      </c>
      <c r="E85" s="1" t="str">
        <f>PROPER(TEXT(Tabela1[[#This Row],[Data]],"dddd"))</f>
        <v>Sexta-Feira</v>
      </c>
      <c r="F85" s="21">
        <v>0.4375</v>
      </c>
      <c r="G85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85" t="s">
        <v>240</v>
      </c>
      <c r="I85" s="2" t="s">
        <v>23</v>
      </c>
      <c r="J85" t="s">
        <v>49</v>
      </c>
      <c r="K85" t="s">
        <v>75</v>
      </c>
      <c r="L85" t="s">
        <v>76</v>
      </c>
      <c r="M85" t="s">
        <v>77</v>
      </c>
      <c r="N85" t="s">
        <v>28</v>
      </c>
      <c r="O85" s="2">
        <v>10</v>
      </c>
      <c r="P85" t="s">
        <v>206</v>
      </c>
      <c r="Q85" s="2">
        <v>17</v>
      </c>
      <c r="R85" s="2">
        <v>3</v>
      </c>
      <c r="S85" s="6">
        <f>Tabela1[[#This Row],[Experiência Anos]]+(Tabela1[[#This Row],[Experiência Meses]]/12)</f>
        <v>17.25</v>
      </c>
      <c r="T85" s="2" t="s">
        <v>23</v>
      </c>
      <c r="U85" s="2" t="s">
        <v>23</v>
      </c>
      <c r="V85" s="2" t="s">
        <v>23</v>
      </c>
      <c r="W85" s="2" t="s">
        <v>30</v>
      </c>
      <c r="X85" s="2" t="s">
        <v>30</v>
      </c>
    </row>
    <row r="86" spans="1:24">
      <c r="A86" s="3"/>
      <c r="B86" t="s">
        <v>241</v>
      </c>
      <c r="C86" s="23">
        <v>10904</v>
      </c>
      <c r="D86" s="1">
        <v>44861</v>
      </c>
      <c r="E86" s="1" t="str">
        <f>PROPER(TEXT(Tabela1[[#This Row],[Data]],"dddd"))</f>
        <v>Quinta-Feira</v>
      </c>
      <c r="F86" s="21">
        <v>0.97291666666666665</v>
      </c>
      <c r="G86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86" t="s">
        <v>242</v>
      </c>
      <c r="I86" s="2" t="s">
        <v>23</v>
      </c>
      <c r="J86" t="s">
        <v>49</v>
      </c>
      <c r="K86" t="s">
        <v>75</v>
      </c>
      <c r="L86" t="s">
        <v>76</v>
      </c>
      <c r="M86" t="s">
        <v>177</v>
      </c>
      <c r="N86" t="s">
        <v>28</v>
      </c>
      <c r="O86" s="2">
        <v>8</v>
      </c>
      <c r="P86" t="s">
        <v>29</v>
      </c>
      <c r="Q86" s="2">
        <v>2</v>
      </c>
      <c r="R86" s="2">
        <v>0</v>
      </c>
      <c r="S86" s="6">
        <f>Tabela1[[#This Row],[Experiência Anos]]+(Tabela1[[#This Row],[Experiência Meses]]/12)</f>
        <v>2</v>
      </c>
      <c r="T86" s="2" t="s">
        <v>30</v>
      </c>
      <c r="U86" s="2" t="s">
        <v>23</v>
      </c>
      <c r="V86" s="2" t="s">
        <v>23</v>
      </c>
      <c r="W86" s="2" t="s">
        <v>30</v>
      </c>
      <c r="X86" s="2" t="s">
        <v>30</v>
      </c>
    </row>
    <row r="87" spans="1:24">
      <c r="A87" s="3"/>
      <c r="B87" t="s">
        <v>243</v>
      </c>
      <c r="C87" s="23">
        <v>10563</v>
      </c>
      <c r="D87" s="1">
        <v>44868</v>
      </c>
      <c r="E87" s="1" t="str">
        <f>PROPER(TEXT(Tabela1[[#This Row],[Data]],"dddd"))</f>
        <v>Quinta-Feira</v>
      </c>
      <c r="F87" s="21">
        <v>0.48958333333333331</v>
      </c>
      <c r="G8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87" t="s">
        <v>244</v>
      </c>
      <c r="I87" s="2" t="s">
        <v>23</v>
      </c>
      <c r="J87" t="s">
        <v>39</v>
      </c>
      <c r="K87" t="s">
        <v>40</v>
      </c>
      <c r="L87" t="s">
        <v>41</v>
      </c>
      <c r="M87" t="s">
        <v>56</v>
      </c>
      <c r="N87" t="s">
        <v>28</v>
      </c>
      <c r="O87" s="2">
        <v>2</v>
      </c>
      <c r="P87" t="s">
        <v>206</v>
      </c>
      <c r="Q87" s="2">
        <v>3</v>
      </c>
      <c r="R87" s="2">
        <v>5</v>
      </c>
      <c r="S87" s="6">
        <f>Tabela1[[#This Row],[Experiência Anos]]+(Tabela1[[#This Row],[Experiência Meses]]/12)</f>
        <v>3.4166666666666665</v>
      </c>
      <c r="T87" s="2" t="s">
        <v>30</v>
      </c>
      <c r="U87" s="2" t="s">
        <v>23</v>
      </c>
      <c r="V87" s="2" t="s">
        <v>23</v>
      </c>
      <c r="W87" s="2" t="s">
        <v>30</v>
      </c>
      <c r="X87" s="2" t="s">
        <v>30</v>
      </c>
    </row>
    <row r="88" spans="1:24">
      <c r="A88" s="3"/>
      <c r="B88" t="s">
        <v>245</v>
      </c>
      <c r="C88" s="23">
        <v>11447</v>
      </c>
      <c r="D88" s="1">
        <v>44874</v>
      </c>
      <c r="E88" s="1" t="str">
        <f>PROPER(TEXT(Tabela1[[#This Row],[Data]],"dddd"))</f>
        <v>Quarta-Feira</v>
      </c>
      <c r="F88" s="21">
        <v>0.61111111111111116</v>
      </c>
      <c r="G8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88" t="s">
        <v>246</v>
      </c>
      <c r="I88" s="2" t="s">
        <v>23</v>
      </c>
      <c r="J88" t="s">
        <v>33</v>
      </c>
      <c r="K88" t="s">
        <v>34</v>
      </c>
      <c r="L88" t="s">
        <v>35</v>
      </c>
      <c r="M88" t="s">
        <v>45</v>
      </c>
      <c r="N88" t="s">
        <v>28</v>
      </c>
      <c r="O88" s="2">
        <v>1</v>
      </c>
      <c r="P88" t="s">
        <v>84</v>
      </c>
      <c r="Q88" s="2">
        <v>0</v>
      </c>
      <c r="R88" s="2">
        <v>5</v>
      </c>
      <c r="S88" s="6">
        <f>Tabela1[[#This Row],[Experiência Anos]]+(Tabela1[[#This Row],[Experiência Meses]]/12)</f>
        <v>0.41666666666666669</v>
      </c>
      <c r="T88" s="2" t="s">
        <v>23</v>
      </c>
      <c r="U88" s="2" t="s">
        <v>23</v>
      </c>
      <c r="V88" s="2" t="s">
        <v>23</v>
      </c>
      <c r="W88" s="2" t="s">
        <v>30</v>
      </c>
      <c r="X88" s="2" t="s">
        <v>30</v>
      </c>
    </row>
    <row r="89" spans="1:24">
      <c r="A89" s="3"/>
      <c r="B89" t="s">
        <v>247</v>
      </c>
      <c r="C89" s="23">
        <v>11529</v>
      </c>
      <c r="D89" s="1">
        <v>44881</v>
      </c>
      <c r="E89" s="1" t="str">
        <f>PROPER(TEXT(Tabela1[[#This Row],[Data]],"dddd"))</f>
        <v>Quarta-Feira</v>
      </c>
      <c r="F89" s="21">
        <v>0.65902777777777777</v>
      </c>
      <c r="G89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89" t="s">
        <v>248</v>
      </c>
      <c r="I89" s="2" t="s">
        <v>23</v>
      </c>
      <c r="J89" t="s">
        <v>24</v>
      </c>
      <c r="K89" t="s">
        <v>166</v>
      </c>
      <c r="L89" t="s">
        <v>167</v>
      </c>
      <c r="M89" t="s">
        <v>45</v>
      </c>
      <c r="N89" t="s">
        <v>28</v>
      </c>
      <c r="O89" s="2">
        <v>15</v>
      </c>
      <c r="P89" t="s">
        <v>29</v>
      </c>
      <c r="Q89" s="2">
        <v>0</v>
      </c>
      <c r="R89" s="2">
        <v>3</v>
      </c>
      <c r="S89" s="6">
        <f>Tabela1[[#This Row],[Experiência Anos]]+(Tabela1[[#This Row],[Experiência Meses]]/12)</f>
        <v>0.25</v>
      </c>
      <c r="T89" s="2" t="s">
        <v>30</v>
      </c>
      <c r="U89" s="2" t="s">
        <v>23</v>
      </c>
      <c r="V89" s="2" t="s">
        <v>30</v>
      </c>
      <c r="W89" s="2" t="s">
        <v>23</v>
      </c>
      <c r="X89" s="2" t="s">
        <v>30</v>
      </c>
    </row>
    <row r="90" spans="1:24">
      <c r="A90" s="3"/>
      <c r="B90" t="s">
        <v>249</v>
      </c>
      <c r="C90" s="23">
        <v>8001</v>
      </c>
      <c r="D90" s="1">
        <v>44896</v>
      </c>
      <c r="E90" s="1" t="str">
        <f>PROPER(TEXT(Tabela1[[#This Row],[Data]],"dddd"))</f>
        <v>Quinta-Feira</v>
      </c>
      <c r="F90" s="21">
        <v>0</v>
      </c>
      <c r="G90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90" t="s">
        <v>250</v>
      </c>
      <c r="I90" s="2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s="2">
        <v>2</v>
      </c>
      <c r="P90" t="s">
        <v>70</v>
      </c>
      <c r="Q90" s="2">
        <v>12</v>
      </c>
      <c r="R90" s="2">
        <v>5</v>
      </c>
      <c r="S90" s="6">
        <f>Tabela1[[#This Row],[Experiência Anos]]+(Tabela1[[#This Row],[Experiência Meses]]/12)</f>
        <v>12.416666666666666</v>
      </c>
      <c r="T90" s="2" t="s">
        <v>30</v>
      </c>
      <c r="U90" s="2" t="s">
        <v>30</v>
      </c>
      <c r="V90" s="2" t="s">
        <v>30</v>
      </c>
      <c r="W90" s="2" t="s">
        <v>23</v>
      </c>
      <c r="X90" s="2" t="s">
        <v>23</v>
      </c>
    </row>
    <row r="91" spans="1:24">
      <c r="A91" s="3"/>
      <c r="B91" t="s">
        <v>251</v>
      </c>
      <c r="C91" s="23">
        <v>9250</v>
      </c>
      <c r="D91" s="1">
        <v>44897</v>
      </c>
      <c r="E91" s="1" t="str">
        <f>PROPER(TEXT(Tabela1[[#This Row],[Data]],"dddd"))</f>
        <v>Sexta-Feira</v>
      </c>
      <c r="F91" s="21">
        <v>0.22916666666666666</v>
      </c>
      <c r="G91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91" t="s">
        <v>210</v>
      </c>
      <c r="I91" s="2" t="s">
        <v>23</v>
      </c>
      <c r="J91" t="s">
        <v>49</v>
      </c>
      <c r="K91" t="s">
        <v>211</v>
      </c>
      <c r="L91" t="s">
        <v>212</v>
      </c>
      <c r="M91" t="s">
        <v>213</v>
      </c>
      <c r="N91" t="s">
        <v>28</v>
      </c>
      <c r="O91" s="2">
        <v>7</v>
      </c>
      <c r="P91" t="s">
        <v>29</v>
      </c>
      <c r="Q91" s="2">
        <v>9</v>
      </c>
      <c r="R91" s="2">
        <v>0</v>
      </c>
      <c r="S91" s="6">
        <f>Tabela1[[#This Row],[Experiência Anos]]+(Tabela1[[#This Row],[Experiência Meses]]/12)</f>
        <v>9</v>
      </c>
      <c r="T91" s="2" t="s">
        <v>30</v>
      </c>
      <c r="U91" s="2" t="s">
        <v>23</v>
      </c>
      <c r="V91" s="2" t="s">
        <v>23</v>
      </c>
      <c r="W91" s="2" t="s">
        <v>30</v>
      </c>
      <c r="X91" s="2" t="s">
        <v>23</v>
      </c>
    </row>
    <row r="92" spans="1:24">
      <c r="A92" s="3"/>
      <c r="B92" t="s">
        <v>252</v>
      </c>
      <c r="C92" s="23">
        <v>11165</v>
      </c>
      <c r="D92" s="1">
        <v>44901</v>
      </c>
      <c r="E92" s="1" t="str">
        <f>PROPER(TEXT(Tabela1[[#This Row],[Data]],"dddd"))</f>
        <v>Terça-Feira</v>
      </c>
      <c r="F92" s="21">
        <v>0.91666666666666663</v>
      </c>
      <c r="G92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92" t="s">
        <v>189</v>
      </c>
      <c r="I92" s="2" t="s">
        <v>23</v>
      </c>
      <c r="J92" t="s">
        <v>24</v>
      </c>
      <c r="K92" t="s">
        <v>166</v>
      </c>
      <c r="L92" t="s">
        <v>167</v>
      </c>
      <c r="M92" t="s">
        <v>45</v>
      </c>
      <c r="N92" t="s">
        <v>28</v>
      </c>
      <c r="O92" s="2">
        <v>7</v>
      </c>
      <c r="P92" t="s">
        <v>87</v>
      </c>
      <c r="Q92" s="2">
        <v>1</v>
      </c>
      <c r="R92" s="2">
        <v>4</v>
      </c>
      <c r="S92" s="6">
        <f>Tabela1[[#This Row],[Experiência Anos]]+(Tabela1[[#This Row],[Experiência Meses]]/12)</f>
        <v>1.3333333333333333</v>
      </c>
      <c r="T92" s="2" t="s">
        <v>30</v>
      </c>
      <c r="U92" s="2" t="s">
        <v>23</v>
      </c>
      <c r="V92" s="2" t="s">
        <v>23</v>
      </c>
      <c r="W92" s="2" t="s">
        <v>30</v>
      </c>
      <c r="X92" s="2" t="s">
        <v>30</v>
      </c>
    </row>
    <row r="93" spans="1:24">
      <c r="A93" s="3"/>
      <c r="B93" t="s">
        <v>253</v>
      </c>
      <c r="C93" s="23">
        <v>9309</v>
      </c>
      <c r="D93" s="1">
        <v>44904</v>
      </c>
      <c r="E93" s="1" t="str">
        <f>PROPER(TEXT(Tabela1[[#This Row],[Data]],"dddd"))</f>
        <v>Sexta-Feira</v>
      </c>
      <c r="F93" s="21">
        <v>0.64930555555555558</v>
      </c>
      <c r="G93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93" t="s">
        <v>254</v>
      </c>
      <c r="I93" s="2" t="s">
        <v>30</v>
      </c>
      <c r="J93" t="s">
        <v>49</v>
      </c>
      <c r="K93" t="s">
        <v>50</v>
      </c>
      <c r="L93" t="s">
        <v>51</v>
      </c>
      <c r="M93" t="s">
        <v>27</v>
      </c>
      <c r="N93" t="s">
        <v>28</v>
      </c>
      <c r="O93" s="2">
        <v>15</v>
      </c>
      <c r="P93" t="s">
        <v>29</v>
      </c>
      <c r="Q93" s="2">
        <v>8</v>
      </c>
      <c r="R93" s="2">
        <v>8</v>
      </c>
      <c r="S93" s="6">
        <f>Tabela1[[#This Row],[Experiência Anos]]+(Tabela1[[#This Row],[Experiência Meses]]/12)</f>
        <v>8.6666666666666661</v>
      </c>
      <c r="T93" s="2" t="s">
        <v>30</v>
      </c>
      <c r="U93" s="2" t="s">
        <v>30</v>
      </c>
      <c r="V93" s="2" t="s">
        <v>23</v>
      </c>
      <c r="W93" s="2" t="s">
        <v>30</v>
      </c>
      <c r="X93" s="2" t="s">
        <v>30</v>
      </c>
    </row>
    <row r="94" spans="1:24">
      <c r="A94" s="3"/>
      <c r="B94" t="s">
        <v>255</v>
      </c>
      <c r="C94" s="23">
        <v>9853</v>
      </c>
      <c r="D94" s="1">
        <v>44938</v>
      </c>
      <c r="E94" s="1" t="str">
        <f>PROPER(TEXT(Tabela1[[#This Row],[Data]],"dddd"))</f>
        <v>Quinta-Feira</v>
      </c>
      <c r="F94" s="21">
        <v>0.70833333333333337</v>
      </c>
      <c r="G94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94" t="s">
        <v>256</v>
      </c>
      <c r="I94" s="2" t="s">
        <v>30</v>
      </c>
      <c r="J94" t="s">
        <v>49</v>
      </c>
      <c r="K94" t="s">
        <v>75</v>
      </c>
      <c r="L94" t="s">
        <v>76</v>
      </c>
      <c r="M94" t="s">
        <v>122</v>
      </c>
      <c r="N94" t="s">
        <v>28</v>
      </c>
      <c r="O94" s="2">
        <v>15</v>
      </c>
      <c r="P94" t="s">
        <v>139</v>
      </c>
      <c r="Q94" s="2">
        <v>0</v>
      </c>
      <c r="R94" s="2">
        <v>1</v>
      </c>
      <c r="S94" s="6">
        <f>Tabela1[[#This Row],[Experiência Anos]]+(Tabela1[[#This Row],[Experiência Meses]]/12)</f>
        <v>8.3333333333333329E-2</v>
      </c>
      <c r="T94" s="2" t="s">
        <v>23</v>
      </c>
      <c r="U94" s="2" t="s">
        <v>30</v>
      </c>
      <c r="V94" s="2" t="s">
        <v>23</v>
      </c>
      <c r="W94" s="2" t="s">
        <v>30</v>
      </c>
      <c r="X94" s="2" t="s">
        <v>30</v>
      </c>
    </row>
    <row r="95" spans="1:24">
      <c r="A95" s="3"/>
      <c r="B95" t="s">
        <v>257</v>
      </c>
      <c r="C95" s="23">
        <v>9502</v>
      </c>
      <c r="D95" s="1">
        <v>44943</v>
      </c>
      <c r="E95" s="1" t="str">
        <f>PROPER(TEXT(Tabela1[[#This Row],[Data]],"dddd"))</f>
        <v>Terça-Feira</v>
      </c>
      <c r="F95" s="21">
        <v>0.875</v>
      </c>
      <c r="G95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95" t="s">
        <v>258</v>
      </c>
      <c r="I95" s="2" t="s">
        <v>30</v>
      </c>
      <c r="J95" t="s">
        <v>33</v>
      </c>
      <c r="K95" t="s">
        <v>34</v>
      </c>
      <c r="L95" t="s">
        <v>35</v>
      </c>
      <c r="M95" t="s">
        <v>65</v>
      </c>
      <c r="N95" t="s">
        <v>28</v>
      </c>
      <c r="O95" s="2">
        <v>15</v>
      </c>
      <c r="P95" t="s">
        <v>87</v>
      </c>
      <c r="Q95" s="2">
        <v>8</v>
      </c>
      <c r="R95" s="2">
        <v>3</v>
      </c>
      <c r="S95" s="6">
        <f>Tabela1[[#This Row],[Experiência Anos]]+(Tabela1[[#This Row],[Experiência Meses]]/12)</f>
        <v>8.25</v>
      </c>
      <c r="T95" s="2" t="s">
        <v>30</v>
      </c>
      <c r="U95" s="2" t="s">
        <v>23</v>
      </c>
      <c r="V95" s="2" t="s">
        <v>30</v>
      </c>
      <c r="W95" s="2" t="s">
        <v>23</v>
      </c>
      <c r="X95" s="2" t="s">
        <v>23</v>
      </c>
    </row>
    <row r="96" spans="1:24">
      <c r="A96" s="3"/>
      <c r="B96" t="s">
        <v>259</v>
      </c>
      <c r="C96" s="23">
        <v>8079</v>
      </c>
      <c r="D96" s="1">
        <v>44949</v>
      </c>
      <c r="E96" s="1" t="str">
        <f>PROPER(TEXT(Tabela1[[#This Row],[Data]],"dddd"))</f>
        <v>Segunda-Feira</v>
      </c>
      <c r="F96" s="21">
        <v>0.5</v>
      </c>
      <c r="G9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96" t="s">
        <v>260</v>
      </c>
      <c r="I96" s="2" t="s">
        <v>23</v>
      </c>
      <c r="J96" t="s">
        <v>49</v>
      </c>
      <c r="K96" t="s">
        <v>211</v>
      </c>
      <c r="L96" t="s">
        <v>212</v>
      </c>
      <c r="M96" t="s">
        <v>261</v>
      </c>
      <c r="N96" t="s">
        <v>28</v>
      </c>
      <c r="O96" s="2">
        <v>7</v>
      </c>
      <c r="P96" t="s">
        <v>29</v>
      </c>
      <c r="Q96" s="2">
        <v>12</v>
      </c>
      <c r="R96" s="2">
        <v>4</v>
      </c>
      <c r="S96" s="6">
        <f>Tabela1[[#This Row],[Experiência Anos]]+(Tabela1[[#This Row],[Experiência Meses]]/12)</f>
        <v>12.333333333333334</v>
      </c>
      <c r="T96" s="2" t="s">
        <v>30</v>
      </c>
      <c r="U96" s="2" t="s">
        <v>23</v>
      </c>
      <c r="V96" s="2" t="s">
        <v>23</v>
      </c>
      <c r="W96" s="2" t="s">
        <v>30</v>
      </c>
      <c r="X96" s="2" t="s">
        <v>23</v>
      </c>
    </row>
    <row r="97" spans="1:24">
      <c r="A97" s="3"/>
      <c r="B97" t="s">
        <v>262</v>
      </c>
      <c r="C97" s="23">
        <v>11620</v>
      </c>
      <c r="D97" s="1">
        <v>44959</v>
      </c>
      <c r="E97" s="1" t="str">
        <f>PROPER(TEXT(Tabela1[[#This Row],[Data]],"dddd"))</f>
        <v>Quinta-Feira</v>
      </c>
      <c r="F97" s="21">
        <v>0.47222222222222221</v>
      </c>
      <c r="G9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97" t="s">
        <v>263</v>
      </c>
      <c r="I97" s="2" t="s">
        <v>23</v>
      </c>
      <c r="J97" t="s">
        <v>24</v>
      </c>
      <c r="K97" t="s">
        <v>25</v>
      </c>
      <c r="L97" t="s">
        <v>26</v>
      </c>
      <c r="M97" t="s">
        <v>45</v>
      </c>
      <c r="N97" t="s">
        <v>28</v>
      </c>
      <c r="O97" s="2">
        <v>5</v>
      </c>
      <c r="P97" t="s">
        <v>87</v>
      </c>
      <c r="Q97" s="2">
        <v>0</v>
      </c>
      <c r="R97" s="2">
        <v>2</v>
      </c>
      <c r="S97" s="6">
        <f>Tabela1[[#This Row],[Experiência Anos]]+(Tabela1[[#This Row],[Experiência Meses]]/12)</f>
        <v>0.16666666666666666</v>
      </c>
      <c r="T97" s="2" t="s">
        <v>30</v>
      </c>
      <c r="U97" s="2" t="s">
        <v>23</v>
      </c>
      <c r="V97" s="2" t="s">
        <v>23</v>
      </c>
      <c r="W97" s="2" t="s">
        <v>30</v>
      </c>
      <c r="X97" s="2" t="s">
        <v>30</v>
      </c>
    </row>
    <row r="98" spans="1:24">
      <c r="A98" s="3"/>
      <c r="B98" t="s">
        <v>264</v>
      </c>
      <c r="C98" s="23">
        <v>11622</v>
      </c>
      <c r="D98" s="1">
        <v>44963</v>
      </c>
      <c r="E98" s="1" t="str">
        <f>PROPER(TEXT(Tabela1[[#This Row],[Data]],"dddd"))</f>
        <v>Segunda-Feira</v>
      </c>
      <c r="F98" s="21">
        <v>0.45833333333333331</v>
      </c>
      <c r="G98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98" t="s">
        <v>265</v>
      </c>
      <c r="I98" s="2" t="s">
        <v>23</v>
      </c>
      <c r="J98" t="s">
        <v>49</v>
      </c>
      <c r="K98" t="s">
        <v>50</v>
      </c>
      <c r="L98" t="s">
        <v>51</v>
      </c>
      <c r="M98" t="s">
        <v>45</v>
      </c>
      <c r="N98" t="s">
        <v>28</v>
      </c>
      <c r="O98" s="2">
        <v>7</v>
      </c>
      <c r="P98" t="s">
        <v>46</v>
      </c>
      <c r="Q98" s="2">
        <v>1</v>
      </c>
      <c r="R98" s="2">
        <v>2</v>
      </c>
      <c r="S98" s="6">
        <f>Tabela1[[#This Row],[Experiência Anos]]+(Tabela1[[#This Row],[Experiência Meses]]/12)</f>
        <v>1.1666666666666667</v>
      </c>
      <c r="T98" s="2" t="s">
        <v>30</v>
      </c>
      <c r="U98" s="2" t="s">
        <v>23</v>
      </c>
      <c r="V98" s="2" t="s">
        <v>23</v>
      </c>
      <c r="W98" s="2" t="s">
        <v>30</v>
      </c>
      <c r="X98" s="2" t="s">
        <v>30</v>
      </c>
    </row>
    <row r="99" spans="1:24">
      <c r="A99" s="3"/>
      <c r="B99" t="s">
        <v>266</v>
      </c>
      <c r="C99" s="23">
        <v>8811</v>
      </c>
      <c r="D99" s="1">
        <v>44968</v>
      </c>
      <c r="E99" s="1" t="str">
        <f>PROPER(TEXT(Tabela1[[#This Row],[Data]],"dddd"))</f>
        <v>Sábado</v>
      </c>
      <c r="F99" s="21">
        <v>0.77083333333333337</v>
      </c>
      <c r="G99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99" t="s">
        <v>267</v>
      </c>
      <c r="I99" s="2" t="s">
        <v>30</v>
      </c>
      <c r="J99" t="s">
        <v>49</v>
      </c>
      <c r="K99" t="s">
        <v>148</v>
      </c>
      <c r="L99" t="s">
        <v>149</v>
      </c>
      <c r="M99" t="s">
        <v>150</v>
      </c>
      <c r="N99" t="s">
        <v>28</v>
      </c>
      <c r="O99" s="2">
        <v>15</v>
      </c>
      <c r="P99" t="s">
        <v>139</v>
      </c>
      <c r="Q99" s="2">
        <v>10</v>
      </c>
      <c r="R99" s="2">
        <v>7</v>
      </c>
      <c r="S99" s="6">
        <f>Tabela1[[#This Row],[Experiência Anos]]+(Tabela1[[#This Row],[Experiência Meses]]/12)</f>
        <v>10.583333333333334</v>
      </c>
      <c r="T99" s="2" t="s">
        <v>23</v>
      </c>
      <c r="U99" s="2" t="s">
        <v>23</v>
      </c>
      <c r="V99" s="2" t="s">
        <v>23</v>
      </c>
      <c r="W99" s="2" t="s">
        <v>30</v>
      </c>
      <c r="X99" s="2" t="s">
        <v>30</v>
      </c>
    </row>
    <row r="100" spans="1:24">
      <c r="A100" s="3"/>
      <c r="B100" t="s">
        <v>268</v>
      </c>
      <c r="C100" s="23">
        <v>11149</v>
      </c>
      <c r="D100" s="1">
        <v>44974</v>
      </c>
      <c r="E100" s="1" t="str">
        <f>PROPER(TEXT(Tabela1[[#This Row],[Data]],"dddd"))</f>
        <v>Sexta-Feira</v>
      </c>
      <c r="F100" s="21">
        <v>0.375</v>
      </c>
      <c r="G100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00" t="s">
        <v>126</v>
      </c>
      <c r="I100" s="2" t="s">
        <v>23</v>
      </c>
      <c r="J100" t="s">
        <v>24</v>
      </c>
      <c r="K100" t="s">
        <v>25</v>
      </c>
      <c r="L100" t="s">
        <v>26</v>
      </c>
      <c r="M100" t="s">
        <v>269</v>
      </c>
      <c r="N100" t="s">
        <v>28</v>
      </c>
      <c r="O100" s="2">
        <v>5</v>
      </c>
      <c r="P100" t="s">
        <v>87</v>
      </c>
      <c r="Q100" s="2">
        <v>1</v>
      </c>
      <c r="R100" s="2">
        <v>6</v>
      </c>
      <c r="S100" s="6">
        <f>Tabela1[[#This Row],[Experiência Anos]]+(Tabela1[[#This Row],[Experiência Meses]]/12)</f>
        <v>1.5</v>
      </c>
      <c r="T100" s="2" t="s">
        <v>23</v>
      </c>
      <c r="U100" s="2" t="s">
        <v>30</v>
      </c>
      <c r="V100" s="2" t="s">
        <v>30</v>
      </c>
      <c r="W100" s="2" t="s">
        <v>30</v>
      </c>
      <c r="X100" s="2" t="s">
        <v>30</v>
      </c>
    </row>
    <row r="101" spans="1:24">
      <c r="A101" s="3"/>
      <c r="B101" t="s">
        <v>270</v>
      </c>
      <c r="C101" s="23">
        <v>11622</v>
      </c>
      <c r="D101" s="1">
        <v>44979</v>
      </c>
      <c r="E101" s="1" t="str">
        <f>PROPER(TEXT(Tabela1[[#This Row],[Data]],"dddd"))</f>
        <v>Quarta-Feira</v>
      </c>
      <c r="F101" s="21">
        <v>0.55138888888888893</v>
      </c>
      <c r="G10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01" t="s">
        <v>265</v>
      </c>
      <c r="I101" s="2" t="s">
        <v>23</v>
      </c>
      <c r="J101" t="s">
        <v>49</v>
      </c>
      <c r="K101" t="s">
        <v>50</v>
      </c>
      <c r="L101" t="s">
        <v>51</v>
      </c>
      <c r="M101" t="s">
        <v>45</v>
      </c>
      <c r="N101" t="s">
        <v>28</v>
      </c>
      <c r="O101" s="2">
        <v>15</v>
      </c>
      <c r="P101" t="s">
        <v>29</v>
      </c>
      <c r="Q101" s="2">
        <v>1</v>
      </c>
      <c r="R101" s="2">
        <v>2</v>
      </c>
      <c r="S101" s="6">
        <f>Tabela1[[#This Row],[Experiência Anos]]+(Tabela1[[#This Row],[Experiência Meses]]/12)</f>
        <v>1.1666666666666667</v>
      </c>
      <c r="T101" s="2" t="s">
        <v>23</v>
      </c>
      <c r="U101" s="2" t="s">
        <v>30</v>
      </c>
      <c r="V101" s="2" t="s">
        <v>30</v>
      </c>
      <c r="W101" s="2" t="s">
        <v>23</v>
      </c>
      <c r="X101" s="2" t="s">
        <v>30</v>
      </c>
    </row>
    <row r="102" spans="1:24">
      <c r="A102" s="3"/>
      <c r="B102" t="s">
        <v>271</v>
      </c>
      <c r="C102" s="23">
        <v>10491</v>
      </c>
      <c r="D102" s="1">
        <v>44992</v>
      </c>
      <c r="E102" s="1" t="str">
        <f>PROPER(TEXT(Tabela1[[#This Row],[Data]],"dddd"))</f>
        <v>Terça-Feira</v>
      </c>
      <c r="F102" s="21">
        <v>0.4375</v>
      </c>
      <c r="G102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02" t="s">
        <v>272</v>
      </c>
      <c r="I102" s="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s="2">
        <v>4</v>
      </c>
      <c r="P102" t="s">
        <v>29</v>
      </c>
      <c r="Q102" s="2">
        <v>3</v>
      </c>
      <c r="R102" s="2">
        <v>1</v>
      </c>
      <c r="S102" s="6">
        <f>Tabela1[[#This Row],[Experiência Anos]]+(Tabela1[[#This Row],[Experiência Meses]]/12)</f>
        <v>3.0833333333333335</v>
      </c>
      <c r="T102" s="2" t="s">
        <v>30</v>
      </c>
      <c r="U102" s="2" t="s">
        <v>30</v>
      </c>
      <c r="V102" s="2" t="s">
        <v>23</v>
      </c>
      <c r="W102" s="2" t="s">
        <v>23</v>
      </c>
      <c r="X102" s="2" t="s">
        <v>30</v>
      </c>
    </row>
    <row r="103" spans="1:24">
      <c r="A103" s="3"/>
      <c r="B103" t="s">
        <v>273</v>
      </c>
      <c r="C103" s="23">
        <v>11264</v>
      </c>
      <c r="D103" s="1">
        <v>44994</v>
      </c>
      <c r="E103" s="1" t="str">
        <f>PROPER(TEXT(Tabela1[[#This Row],[Data]],"dddd"))</f>
        <v>Quinta-Feira</v>
      </c>
      <c r="F103" s="21">
        <v>0.48958333333333331</v>
      </c>
      <c r="G10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03" t="s">
        <v>274</v>
      </c>
      <c r="I103" s="2" t="s">
        <v>30</v>
      </c>
      <c r="J103" t="s">
        <v>33</v>
      </c>
      <c r="K103" t="s">
        <v>34</v>
      </c>
      <c r="L103" t="s">
        <v>35</v>
      </c>
      <c r="M103" t="s">
        <v>45</v>
      </c>
      <c r="N103" t="s">
        <v>28</v>
      </c>
      <c r="O103" s="2">
        <v>15</v>
      </c>
      <c r="P103" t="s">
        <v>29</v>
      </c>
      <c r="Q103" s="2">
        <v>1</v>
      </c>
      <c r="R103" s="2">
        <v>3</v>
      </c>
      <c r="S103" s="6">
        <f>Tabela1[[#This Row],[Experiência Anos]]+(Tabela1[[#This Row],[Experiência Meses]]/12)</f>
        <v>1.25</v>
      </c>
      <c r="T103" s="2" t="s">
        <v>30</v>
      </c>
      <c r="U103" s="2" t="s">
        <v>30</v>
      </c>
      <c r="V103" s="2" t="s">
        <v>30</v>
      </c>
      <c r="W103" s="2" t="s">
        <v>23</v>
      </c>
      <c r="X103" s="2" t="s">
        <v>30</v>
      </c>
    </row>
    <row r="104" spans="1:24">
      <c r="A104" s="3"/>
      <c r="B104" t="s">
        <v>275</v>
      </c>
      <c r="C104" s="23">
        <v>10154</v>
      </c>
      <c r="D104" s="1">
        <v>45000</v>
      </c>
      <c r="E104" s="1" t="str">
        <f>PROPER(TEXT(Tabela1[[#This Row],[Data]],"dddd"))</f>
        <v>Quarta-Feira</v>
      </c>
      <c r="F104" s="21">
        <v>0.40069444444444446</v>
      </c>
      <c r="G104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04" t="s">
        <v>276</v>
      </c>
      <c r="I104" s="2" t="s">
        <v>23</v>
      </c>
      <c r="J104" t="s">
        <v>49</v>
      </c>
      <c r="K104" t="s">
        <v>50</v>
      </c>
      <c r="L104" t="s">
        <v>51</v>
      </c>
      <c r="M104" t="s">
        <v>56</v>
      </c>
      <c r="N104" t="s">
        <v>28</v>
      </c>
      <c r="O104" s="2">
        <v>4</v>
      </c>
      <c r="P104" t="s">
        <v>87</v>
      </c>
      <c r="Q104" s="2">
        <v>5</v>
      </c>
      <c r="R104" s="2">
        <v>8</v>
      </c>
      <c r="S104" s="6">
        <f>Tabela1[[#This Row],[Experiência Anos]]+(Tabela1[[#This Row],[Experiência Meses]]/12)</f>
        <v>5.666666666666667</v>
      </c>
      <c r="T104" s="2" t="s">
        <v>30</v>
      </c>
      <c r="U104" s="2" t="s">
        <v>23</v>
      </c>
      <c r="V104" s="2" t="s">
        <v>23</v>
      </c>
      <c r="W104" s="2" t="s">
        <v>30</v>
      </c>
      <c r="X104" s="2" t="s">
        <v>30</v>
      </c>
    </row>
    <row r="105" spans="1:24">
      <c r="A105" s="3"/>
      <c r="B105" t="s">
        <v>277</v>
      </c>
      <c r="C105" s="23">
        <v>10716</v>
      </c>
      <c r="D105" s="1">
        <v>45005</v>
      </c>
      <c r="E105" s="1" t="str">
        <f>PROPER(TEXT(Tabela1[[#This Row],[Data]],"dddd"))</f>
        <v>Segunda-Feira</v>
      </c>
      <c r="F105" s="21">
        <v>0.29166666666666669</v>
      </c>
      <c r="G105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05" t="s">
        <v>278</v>
      </c>
      <c r="I105" s="2" t="s">
        <v>23</v>
      </c>
      <c r="J105" t="s">
        <v>33</v>
      </c>
      <c r="K105" t="s">
        <v>34</v>
      </c>
      <c r="L105" t="s">
        <v>35</v>
      </c>
      <c r="M105" t="s">
        <v>172</v>
      </c>
      <c r="N105" t="s">
        <v>28</v>
      </c>
      <c r="O105" s="2">
        <v>7</v>
      </c>
      <c r="P105" t="s">
        <v>206</v>
      </c>
      <c r="Q105" s="2">
        <v>3</v>
      </c>
      <c r="R105" s="2">
        <v>0</v>
      </c>
      <c r="S105" s="6">
        <f>Tabela1[[#This Row],[Experiência Anos]]+(Tabela1[[#This Row],[Experiência Meses]]/12)</f>
        <v>3</v>
      </c>
      <c r="T105" s="2" t="s">
        <v>23</v>
      </c>
      <c r="U105" s="2" t="s">
        <v>30</v>
      </c>
      <c r="V105" s="2" t="s">
        <v>23</v>
      </c>
      <c r="W105" s="2" t="s">
        <v>30</v>
      </c>
      <c r="X105" s="2" t="s">
        <v>30</v>
      </c>
    </row>
    <row r="106" spans="1:24">
      <c r="A106" s="3"/>
      <c r="B106" t="s">
        <v>279</v>
      </c>
      <c r="C106" s="23">
        <v>10911</v>
      </c>
      <c r="D106" s="1">
        <v>45028</v>
      </c>
      <c r="E106" s="1" t="str">
        <f>PROPER(TEXT(Tabela1[[#This Row],[Data]],"dddd"))</f>
        <v>Quarta-Feira</v>
      </c>
      <c r="F106" s="21">
        <v>0.32361111111111113</v>
      </c>
      <c r="G106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06" t="s">
        <v>280</v>
      </c>
      <c r="I106" s="2" t="s">
        <v>23</v>
      </c>
      <c r="J106" t="s">
        <v>49</v>
      </c>
      <c r="K106" t="s">
        <v>50</v>
      </c>
      <c r="L106" t="s">
        <v>51</v>
      </c>
      <c r="M106" t="s">
        <v>56</v>
      </c>
      <c r="N106" t="s">
        <v>28</v>
      </c>
      <c r="O106" s="2">
        <v>10</v>
      </c>
      <c r="P106" t="s">
        <v>281</v>
      </c>
      <c r="Q106" s="2">
        <v>2</v>
      </c>
      <c r="R106" s="2">
        <v>4</v>
      </c>
      <c r="S106" s="6">
        <f>Tabela1[[#This Row],[Experiência Anos]]+(Tabela1[[#This Row],[Experiência Meses]]/12)</f>
        <v>2.3333333333333335</v>
      </c>
      <c r="T106" s="2" t="s">
        <v>23</v>
      </c>
      <c r="U106" s="2" t="s">
        <v>23</v>
      </c>
      <c r="V106" s="2" t="s">
        <v>23</v>
      </c>
      <c r="W106" s="2" t="s">
        <v>30</v>
      </c>
      <c r="X106" s="2" t="s">
        <v>30</v>
      </c>
    </row>
    <row r="107" spans="1:24">
      <c r="A107" s="3"/>
      <c r="B107" t="s">
        <v>282</v>
      </c>
      <c r="C107" s="23">
        <v>11531</v>
      </c>
      <c r="D107" s="1">
        <v>45034</v>
      </c>
      <c r="E107" s="1" t="str">
        <f>PROPER(TEXT(Tabela1[[#This Row],[Data]],"dddd"))</f>
        <v>Terça-Feira</v>
      </c>
      <c r="F107" s="21">
        <v>0.61388888888888893</v>
      </c>
      <c r="G107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07" t="s">
        <v>283</v>
      </c>
      <c r="I107" s="2" t="s">
        <v>23</v>
      </c>
      <c r="J107" t="s">
        <v>49</v>
      </c>
      <c r="K107" t="s">
        <v>75</v>
      </c>
      <c r="L107" t="s">
        <v>76</v>
      </c>
      <c r="M107" t="s">
        <v>77</v>
      </c>
      <c r="N107" t="s">
        <v>28</v>
      </c>
      <c r="O107" s="2">
        <v>3</v>
      </c>
      <c r="P107" t="s">
        <v>46</v>
      </c>
      <c r="Q107" s="2">
        <v>0</v>
      </c>
      <c r="R107" s="2">
        <v>8</v>
      </c>
      <c r="S107" s="6">
        <f>Tabela1[[#This Row],[Experiência Anos]]+(Tabela1[[#This Row],[Experiência Meses]]/12)</f>
        <v>0.66666666666666663</v>
      </c>
      <c r="T107" s="2" t="s">
        <v>23</v>
      </c>
      <c r="U107" s="2" t="s">
        <v>30</v>
      </c>
      <c r="V107" s="2" t="s">
        <v>23</v>
      </c>
      <c r="W107" s="2" t="s">
        <v>30</v>
      </c>
      <c r="X107" s="2" t="s">
        <v>30</v>
      </c>
    </row>
    <row r="108" spans="1:24">
      <c r="A108" s="3"/>
      <c r="B108" t="s">
        <v>284</v>
      </c>
      <c r="C108" s="23">
        <v>10557</v>
      </c>
      <c r="D108" s="1">
        <v>45044</v>
      </c>
      <c r="E108" s="1" t="str">
        <f>PROPER(TEXT(Tabela1[[#This Row],[Data]],"dddd"))</f>
        <v>Sexta-Feira</v>
      </c>
      <c r="F108" s="21">
        <v>0.375</v>
      </c>
      <c r="G108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08" t="s">
        <v>285</v>
      </c>
      <c r="I108" s="2" t="s">
        <v>30</v>
      </c>
      <c r="J108" t="s">
        <v>39</v>
      </c>
      <c r="K108" t="s">
        <v>40</v>
      </c>
      <c r="L108" t="s">
        <v>41</v>
      </c>
      <c r="M108" t="s">
        <v>56</v>
      </c>
      <c r="N108" t="s">
        <v>28</v>
      </c>
      <c r="O108" s="2">
        <v>14</v>
      </c>
      <c r="P108" t="s">
        <v>29</v>
      </c>
      <c r="Q108" s="2">
        <v>3</v>
      </c>
      <c r="R108" s="2">
        <v>10</v>
      </c>
      <c r="S108" s="6">
        <f>Tabela1[[#This Row],[Experiência Anos]]+(Tabela1[[#This Row],[Experiência Meses]]/12)</f>
        <v>3.8333333333333335</v>
      </c>
      <c r="T108" s="2" t="s">
        <v>30</v>
      </c>
      <c r="U108" s="2" t="s">
        <v>30</v>
      </c>
      <c r="V108" s="2" t="s">
        <v>23</v>
      </c>
      <c r="W108" s="2" t="s">
        <v>30</v>
      </c>
      <c r="X108" s="2" t="s">
        <v>30</v>
      </c>
    </row>
    <row r="109" spans="1:24">
      <c r="A109" s="3"/>
      <c r="B109" t="s">
        <v>286</v>
      </c>
      <c r="C109" s="23">
        <v>9336</v>
      </c>
      <c r="D109" s="1">
        <v>45056</v>
      </c>
      <c r="E109" s="1" t="str">
        <f>PROPER(TEXT(Tabela1[[#This Row],[Data]],"dddd"))</f>
        <v>Quarta-Feira</v>
      </c>
      <c r="F109" s="21">
        <v>0.53819444444444442</v>
      </c>
      <c r="G109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09" t="s">
        <v>158</v>
      </c>
      <c r="I109" s="2" t="s">
        <v>30</v>
      </c>
      <c r="J109" t="s">
        <v>49</v>
      </c>
      <c r="K109" t="s">
        <v>50</v>
      </c>
      <c r="L109" t="s">
        <v>51</v>
      </c>
      <c r="M109" t="s">
        <v>27</v>
      </c>
      <c r="N109" t="s">
        <v>101</v>
      </c>
      <c r="O109" s="2">
        <v>15</v>
      </c>
      <c r="P109" t="s">
        <v>139</v>
      </c>
      <c r="Q109" s="2">
        <v>9</v>
      </c>
      <c r="R109" s="2">
        <v>1</v>
      </c>
      <c r="S109" s="6">
        <f>Tabela1[[#This Row],[Experiência Anos]]+(Tabela1[[#This Row],[Experiência Meses]]/12)</f>
        <v>9.0833333333333339</v>
      </c>
      <c r="T109" s="2" t="s">
        <v>23</v>
      </c>
      <c r="U109" s="2" t="s">
        <v>23</v>
      </c>
      <c r="V109" s="2" t="s">
        <v>23</v>
      </c>
      <c r="W109" s="2" t="s">
        <v>30</v>
      </c>
      <c r="X109" s="2" t="s">
        <v>30</v>
      </c>
    </row>
    <row r="110" spans="1:24">
      <c r="A110" s="3"/>
      <c r="B110" t="s">
        <v>287</v>
      </c>
      <c r="C110" s="23">
        <v>11677</v>
      </c>
      <c r="D110" s="1">
        <v>45058</v>
      </c>
      <c r="E110" s="1" t="str">
        <f>PROPER(TEXT(Tabela1[[#This Row],[Data]],"dddd"))</f>
        <v>Sexta-Feira</v>
      </c>
      <c r="F110" s="21">
        <v>0.375</v>
      </c>
      <c r="G110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10" t="s">
        <v>288</v>
      </c>
      <c r="I110" s="2" t="s">
        <v>23</v>
      </c>
      <c r="J110" t="s">
        <v>39</v>
      </c>
      <c r="K110" t="s">
        <v>40</v>
      </c>
      <c r="L110" t="s">
        <v>41</v>
      </c>
      <c r="M110" t="s">
        <v>289</v>
      </c>
      <c r="N110" t="s">
        <v>28</v>
      </c>
      <c r="O110" s="2">
        <v>5</v>
      </c>
      <c r="P110" t="s">
        <v>139</v>
      </c>
      <c r="Q110" s="2">
        <v>0</v>
      </c>
      <c r="R110" s="2">
        <v>3</v>
      </c>
      <c r="S110" s="6">
        <f>Tabela1[[#This Row],[Experiência Anos]]+(Tabela1[[#This Row],[Experiência Meses]]/12)</f>
        <v>0.25</v>
      </c>
      <c r="T110" s="2" t="s">
        <v>23</v>
      </c>
      <c r="U110" s="2" t="s">
        <v>23</v>
      </c>
      <c r="V110" s="2" t="s">
        <v>23</v>
      </c>
      <c r="W110" s="2" t="s">
        <v>30</v>
      </c>
      <c r="X110" s="2" t="s">
        <v>30</v>
      </c>
    </row>
    <row r="111" spans="1:24">
      <c r="A111" s="3"/>
      <c r="B111" t="s">
        <v>290</v>
      </c>
      <c r="C111" s="23">
        <v>11296</v>
      </c>
      <c r="D111" s="1">
        <v>45058</v>
      </c>
      <c r="E111" s="1" t="str">
        <f>PROPER(TEXT(Tabela1[[#This Row],[Data]],"dddd"))</f>
        <v>Sexta-Feira</v>
      </c>
      <c r="F111" s="21">
        <v>0.52083333333333337</v>
      </c>
      <c r="G11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11" t="s">
        <v>291</v>
      </c>
      <c r="I111" s="2" t="s">
        <v>23</v>
      </c>
      <c r="J111" t="s">
        <v>39</v>
      </c>
      <c r="K111" t="s">
        <v>40</v>
      </c>
      <c r="L111" t="s">
        <v>41</v>
      </c>
      <c r="M111" t="s">
        <v>45</v>
      </c>
      <c r="N111" t="s">
        <v>28</v>
      </c>
      <c r="O111" s="2">
        <v>14</v>
      </c>
      <c r="P111" t="s">
        <v>29</v>
      </c>
      <c r="Q111" s="2">
        <v>1</v>
      </c>
      <c r="R111" s="2">
        <v>5</v>
      </c>
      <c r="S111" s="6">
        <f>Tabela1[[#This Row],[Experiência Anos]]+(Tabela1[[#This Row],[Experiência Meses]]/12)</f>
        <v>1.4166666666666667</v>
      </c>
      <c r="T111" s="2" t="s">
        <v>30</v>
      </c>
      <c r="U111" s="2" t="s">
        <v>30</v>
      </c>
      <c r="V111" s="2" t="s">
        <v>23</v>
      </c>
      <c r="W111" s="2" t="s">
        <v>30</v>
      </c>
      <c r="X111" s="2" t="s">
        <v>30</v>
      </c>
    </row>
    <row r="112" spans="1:24">
      <c r="A112" s="3"/>
      <c r="B112" t="s">
        <v>292</v>
      </c>
      <c r="C112" s="23">
        <v>11549</v>
      </c>
      <c r="D112" s="1">
        <v>45062</v>
      </c>
      <c r="E112" s="1" t="str">
        <f>PROPER(TEXT(Tabela1[[#This Row],[Data]],"dddd"))</f>
        <v>Terça-Feira</v>
      </c>
      <c r="F112" s="21">
        <v>0.71111111111111114</v>
      </c>
      <c r="G11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12" t="s">
        <v>293</v>
      </c>
      <c r="I112" s="2" t="s">
        <v>23</v>
      </c>
      <c r="J112" t="s">
        <v>24</v>
      </c>
      <c r="K112" t="s">
        <v>25</v>
      </c>
      <c r="L112" t="s">
        <v>26</v>
      </c>
      <c r="M112" t="s">
        <v>45</v>
      </c>
      <c r="N112" t="s">
        <v>28</v>
      </c>
      <c r="O112" s="2">
        <v>7</v>
      </c>
      <c r="P112" t="s">
        <v>139</v>
      </c>
      <c r="Q112" s="2">
        <v>0</v>
      </c>
      <c r="R112" s="2">
        <v>8</v>
      </c>
      <c r="S112" s="6">
        <f>Tabela1[[#This Row],[Experiência Anos]]+(Tabela1[[#This Row],[Experiência Meses]]/12)</f>
        <v>0.66666666666666663</v>
      </c>
      <c r="T112" s="2" t="s">
        <v>30</v>
      </c>
      <c r="U112" s="2" t="s">
        <v>23</v>
      </c>
      <c r="V112" s="2" t="s">
        <v>23</v>
      </c>
      <c r="W112" s="2" t="s">
        <v>30</v>
      </c>
      <c r="X112" s="2" t="s">
        <v>30</v>
      </c>
    </row>
    <row r="113" spans="1:24">
      <c r="A113" s="3"/>
      <c r="B113" t="s">
        <v>294</v>
      </c>
      <c r="C113" s="23">
        <v>11801</v>
      </c>
      <c r="D113" s="1">
        <v>45079</v>
      </c>
      <c r="E113" s="1" t="str">
        <f>PROPER(TEXT(Tabela1[[#This Row],[Data]],"dddd"))</f>
        <v>Sexta-Feira</v>
      </c>
      <c r="F113" s="21">
        <v>0.4201388888888889</v>
      </c>
      <c r="G11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13" t="s">
        <v>295</v>
      </c>
      <c r="I113" s="2" t="s">
        <v>23</v>
      </c>
      <c r="J113" t="s">
        <v>39</v>
      </c>
      <c r="K113" t="s">
        <v>40</v>
      </c>
      <c r="L113" t="s">
        <v>41</v>
      </c>
      <c r="M113" t="s">
        <v>45</v>
      </c>
      <c r="N113" t="s">
        <v>28</v>
      </c>
      <c r="O113" s="2">
        <v>12</v>
      </c>
      <c r="P113" t="s">
        <v>29</v>
      </c>
      <c r="Q113" s="2">
        <v>0</v>
      </c>
      <c r="R113" s="2">
        <v>1</v>
      </c>
      <c r="S113" s="6">
        <f>Tabela1[[#This Row],[Experiência Anos]]+(Tabela1[[#This Row],[Experiência Meses]]/12)</f>
        <v>8.3333333333333329E-2</v>
      </c>
      <c r="T113" s="2" t="s">
        <v>23</v>
      </c>
      <c r="U113" s="2" t="s">
        <v>23</v>
      </c>
      <c r="V113" s="2" t="s">
        <v>30</v>
      </c>
      <c r="W113" s="2" t="s">
        <v>23</v>
      </c>
      <c r="X113" s="2" t="s">
        <v>30</v>
      </c>
    </row>
    <row r="114" spans="1:24">
      <c r="A114" s="3"/>
      <c r="B114" t="s">
        <v>296</v>
      </c>
      <c r="C114" s="23">
        <v>11266</v>
      </c>
      <c r="D114" s="1">
        <v>45082</v>
      </c>
      <c r="E114" s="1" t="str">
        <f>PROPER(TEXT(Tabela1[[#This Row],[Data]],"dddd"))</f>
        <v>Segunda-Feira</v>
      </c>
      <c r="F114" s="21">
        <v>0.5</v>
      </c>
      <c r="G114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14" t="s">
        <v>297</v>
      </c>
      <c r="I114" s="2" t="s">
        <v>23</v>
      </c>
      <c r="J114" t="s">
        <v>33</v>
      </c>
      <c r="K114" t="s">
        <v>34</v>
      </c>
      <c r="L114" t="s">
        <v>35</v>
      </c>
      <c r="M114" t="s">
        <v>45</v>
      </c>
      <c r="N114" t="s">
        <v>101</v>
      </c>
      <c r="O114" s="2">
        <v>3</v>
      </c>
      <c r="P114" t="s">
        <v>29</v>
      </c>
      <c r="Q114" s="2">
        <v>1</v>
      </c>
      <c r="R114" s="2">
        <v>11</v>
      </c>
      <c r="S114" s="6">
        <f>Tabela1[[#This Row],[Experiência Anos]]+(Tabela1[[#This Row],[Experiência Meses]]/12)</f>
        <v>1.9166666666666665</v>
      </c>
      <c r="T114" s="2" t="s">
        <v>23</v>
      </c>
      <c r="U114" s="2" t="s">
        <v>23</v>
      </c>
      <c r="V114" s="2" t="s">
        <v>23</v>
      </c>
      <c r="W114" s="2" t="s">
        <v>30</v>
      </c>
      <c r="X114" s="2" t="s">
        <v>30</v>
      </c>
    </row>
    <row r="115" spans="1:24">
      <c r="A115" s="3"/>
      <c r="B115" t="s">
        <v>298</v>
      </c>
      <c r="C115" s="23">
        <v>11594</v>
      </c>
      <c r="D115" s="1">
        <v>45090</v>
      </c>
      <c r="E115" s="1" t="str">
        <f>PROPER(TEXT(Tabela1[[#This Row],[Data]],"dddd"))</f>
        <v>Terça-Feira</v>
      </c>
      <c r="F115" s="21">
        <v>0.66666666666666663</v>
      </c>
      <c r="G115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15" t="s">
        <v>299</v>
      </c>
      <c r="I115" s="2" t="s">
        <v>23</v>
      </c>
      <c r="J115" t="s">
        <v>49</v>
      </c>
      <c r="K115" t="s">
        <v>75</v>
      </c>
      <c r="L115" t="s">
        <v>76</v>
      </c>
      <c r="M115" t="s">
        <v>122</v>
      </c>
      <c r="N115" t="s">
        <v>28</v>
      </c>
      <c r="O115" s="2">
        <v>10</v>
      </c>
      <c r="P115" t="s">
        <v>29</v>
      </c>
      <c r="Q115" s="2">
        <v>0</v>
      </c>
      <c r="R115" s="2">
        <v>6</v>
      </c>
      <c r="S115" s="6">
        <f>Tabela1[[#This Row],[Experiência Anos]]+(Tabela1[[#This Row],[Experiência Meses]]/12)</f>
        <v>0.5</v>
      </c>
      <c r="T115" s="2" t="s">
        <v>23</v>
      </c>
      <c r="U115" s="2" t="s">
        <v>23</v>
      </c>
      <c r="V115" s="2" t="s">
        <v>23</v>
      </c>
      <c r="W115" s="2" t="s">
        <v>30</v>
      </c>
      <c r="X115" s="2" t="s">
        <v>30</v>
      </c>
    </row>
    <row r="116" spans="1:24">
      <c r="A116" s="3"/>
      <c r="B116" t="s">
        <v>300</v>
      </c>
      <c r="C116" s="23">
        <v>10867</v>
      </c>
      <c r="D116" s="1">
        <v>45094</v>
      </c>
      <c r="E116" s="1" t="str">
        <f>PROPER(TEXT(Tabela1[[#This Row],[Data]],"dddd"))</f>
        <v>Sábado</v>
      </c>
      <c r="F116" s="21">
        <v>0.41458333333333336</v>
      </c>
      <c r="G116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16" t="s">
        <v>62</v>
      </c>
      <c r="I116" s="2" t="s">
        <v>23</v>
      </c>
      <c r="J116" t="s">
        <v>49</v>
      </c>
      <c r="K116" t="s">
        <v>50</v>
      </c>
      <c r="L116" t="s">
        <v>51</v>
      </c>
      <c r="M116" t="s">
        <v>56</v>
      </c>
      <c r="N116" t="s">
        <v>28</v>
      </c>
      <c r="O116" s="2">
        <v>7</v>
      </c>
      <c r="P116" t="s">
        <v>87</v>
      </c>
      <c r="Q116" s="2">
        <v>2</v>
      </c>
      <c r="R116" s="2">
        <v>10</v>
      </c>
      <c r="S116" s="6">
        <f>Tabela1[[#This Row],[Experiência Anos]]+(Tabela1[[#This Row],[Experiência Meses]]/12)</f>
        <v>2.8333333333333335</v>
      </c>
      <c r="T116" s="2" t="s">
        <v>30</v>
      </c>
      <c r="U116" s="2" t="s">
        <v>23</v>
      </c>
      <c r="V116" s="2" t="s">
        <v>23</v>
      </c>
      <c r="W116" s="2" t="s">
        <v>30</v>
      </c>
      <c r="X116" s="2" t="s">
        <v>30</v>
      </c>
    </row>
    <row r="117" spans="1:24">
      <c r="A117" s="3"/>
      <c r="B117" t="s">
        <v>301</v>
      </c>
      <c r="C117" s="23">
        <v>8296</v>
      </c>
      <c r="D117" s="1">
        <v>45096</v>
      </c>
      <c r="E117" s="1" t="str">
        <f>PROPER(TEXT(Tabela1[[#This Row],[Data]],"dddd"))</f>
        <v>Segunda-Feira</v>
      </c>
      <c r="F117" s="21">
        <v>0.44930555555555557</v>
      </c>
      <c r="G11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17" t="s">
        <v>217</v>
      </c>
      <c r="I117" s="2" t="s">
        <v>23</v>
      </c>
      <c r="J117" t="s">
        <v>49</v>
      </c>
      <c r="K117" t="s">
        <v>50</v>
      </c>
      <c r="L117" t="s">
        <v>51</v>
      </c>
      <c r="M117" t="s">
        <v>56</v>
      </c>
      <c r="N117" t="s">
        <v>28</v>
      </c>
      <c r="O117" s="2">
        <v>2</v>
      </c>
      <c r="P117" t="s">
        <v>281</v>
      </c>
      <c r="Q117" s="2">
        <v>2</v>
      </c>
      <c r="R117" s="2">
        <v>10</v>
      </c>
      <c r="S117" s="6">
        <f>Tabela1[[#This Row],[Experiência Anos]]+(Tabela1[[#This Row],[Experiência Meses]]/12)</f>
        <v>2.8333333333333335</v>
      </c>
      <c r="T117" s="2" t="s">
        <v>23</v>
      </c>
      <c r="U117" s="2" t="s">
        <v>23</v>
      </c>
      <c r="V117" s="2" t="s">
        <v>23</v>
      </c>
      <c r="W117" s="2" t="s">
        <v>30</v>
      </c>
      <c r="X117" s="2" t="s">
        <v>30</v>
      </c>
    </row>
    <row r="118" spans="1:24">
      <c r="A118" s="3"/>
      <c r="B118" t="s">
        <v>302</v>
      </c>
      <c r="C118" s="23">
        <v>11273</v>
      </c>
      <c r="D118" s="1">
        <v>45098</v>
      </c>
      <c r="E118" s="1" t="str">
        <f>PROPER(TEXT(Tabela1[[#This Row],[Data]],"dddd"))</f>
        <v>Quarta-Feira</v>
      </c>
      <c r="F118" s="21">
        <v>0.54166666666666663</v>
      </c>
      <c r="G11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18" t="s">
        <v>225</v>
      </c>
      <c r="I118" s="2" t="s">
        <v>30</v>
      </c>
      <c r="J118" t="s">
        <v>49</v>
      </c>
      <c r="K118" t="s">
        <v>75</v>
      </c>
      <c r="L118" t="s">
        <v>76</v>
      </c>
      <c r="M118" t="s">
        <v>77</v>
      </c>
      <c r="N118" t="s">
        <v>28</v>
      </c>
      <c r="O118" s="2">
        <v>15</v>
      </c>
      <c r="P118" t="s">
        <v>29</v>
      </c>
      <c r="Q118" s="2">
        <v>1</v>
      </c>
      <c r="R118" s="2">
        <v>6</v>
      </c>
      <c r="S118" s="6">
        <f>Tabela1[[#This Row],[Experiência Anos]]+(Tabela1[[#This Row],[Experiência Meses]]/12)</f>
        <v>1.5</v>
      </c>
      <c r="T118" s="2" t="s">
        <v>30</v>
      </c>
      <c r="U118" s="2" t="s">
        <v>23</v>
      </c>
      <c r="V118" s="2" t="s">
        <v>23</v>
      </c>
      <c r="W118" s="2" t="s">
        <v>30</v>
      </c>
      <c r="X118" s="2" t="s">
        <v>30</v>
      </c>
    </row>
    <row r="119" spans="1:24">
      <c r="A119" s="3"/>
      <c r="B119" t="s">
        <v>303</v>
      </c>
      <c r="C119" s="23">
        <v>11096</v>
      </c>
      <c r="D119" s="1">
        <v>45104</v>
      </c>
      <c r="E119" s="1" t="str">
        <f>PROPER(TEXT(Tabela1[[#This Row],[Data]],"dddd"))</f>
        <v>Terça-Feira</v>
      </c>
      <c r="F119" s="21">
        <v>4.1666666666666664E-2</v>
      </c>
      <c r="G119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119" t="s">
        <v>156</v>
      </c>
      <c r="I119" s="2" t="s">
        <v>30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s="2">
        <v>14</v>
      </c>
      <c r="P119" t="s">
        <v>29</v>
      </c>
      <c r="Q119" s="2">
        <v>2</v>
      </c>
      <c r="R119" s="2">
        <v>1</v>
      </c>
      <c r="S119" s="6">
        <f>Tabela1[[#This Row],[Experiência Anos]]+(Tabela1[[#This Row],[Experiência Meses]]/12)</f>
        <v>2.0833333333333335</v>
      </c>
      <c r="T119" s="2" t="s">
        <v>30</v>
      </c>
      <c r="U119" s="2" t="s">
        <v>23</v>
      </c>
      <c r="V119" s="2" t="s">
        <v>23</v>
      </c>
      <c r="W119" s="2" t="s">
        <v>30</v>
      </c>
      <c r="X119" s="2" t="s">
        <v>30</v>
      </c>
    </row>
    <row r="120" spans="1:24">
      <c r="A120" s="3"/>
      <c r="B120" t="s">
        <v>304</v>
      </c>
      <c r="C120" s="23" t="s">
        <v>305</v>
      </c>
      <c r="D120" s="1">
        <v>45105</v>
      </c>
      <c r="E120" s="1" t="str">
        <f>PROPER(TEXT(Tabela1[[#This Row],[Data]],"dddd"))</f>
        <v>Quarta-Feira</v>
      </c>
      <c r="F120" s="21">
        <v>0.22916666666666666</v>
      </c>
      <c r="G120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120" t="s">
        <v>306</v>
      </c>
      <c r="I120" s="2" t="s">
        <v>23</v>
      </c>
      <c r="J120" t="s">
        <v>39</v>
      </c>
      <c r="K120" t="s">
        <v>40</v>
      </c>
      <c r="L120" t="s">
        <v>41</v>
      </c>
      <c r="M120" t="s">
        <v>45</v>
      </c>
      <c r="N120" t="s">
        <v>28</v>
      </c>
      <c r="O120" s="2">
        <v>14</v>
      </c>
      <c r="P120" t="s">
        <v>29</v>
      </c>
      <c r="Q120" s="2">
        <v>0</v>
      </c>
      <c r="R120" s="2">
        <v>0</v>
      </c>
      <c r="S120" s="6">
        <f>Tabela1[[#This Row],[Experiência Anos]]+(Tabela1[[#This Row],[Experiência Meses]]/12)</f>
        <v>0</v>
      </c>
      <c r="T120" s="2" t="s">
        <v>23</v>
      </c>
      <c r="U120" s="2" t="s">
        <v>30</v>
      </c>
      <c r="V120" s="2" t="s">
        <v>23</v>
      </c>
      <c r="W120" s="2" t="s">
        <v>30</v>
      </c>
      <c r="X120" s="2" t="s">
        <v>30</v>
      </c>
    </row>
    <row r="121" spans="1:24">
      <c r="A121" s="3"/>
      <c r="B121" t="s">
        <v>307</v>
      </c>
      <c r="C121" s="23">
        <v>11340</v>
      </c>
      <c r="D121" s="1">
        <v>45110</v>
      </c>
      <c r="E121" s="1" t="str">
        <f>PROPER(TEXT(Tabela1[[#This Row],[Data]],"dddd"))</f>
        <v>Segunda-Feira</v>
      </c>
      <c r="F121" s="21">
        <v>0.34166666666666667</v>
      </c>
      <c r="G121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21" t="s">
        <v>308</v>
      </c>
      <c r="I121" s="2" t="s">
        <v>23</v>
      </c>
      <c r="J121" t="s">
        <v>49</v>
      </c>
      <c r="K121" t="s">
        <v>50</v>
      </c>
      <c r="L121" t="s">
        <v>51</v>
      </c>
      <c r="M121" t="s">
        <v>309</v>
      </c>
      <c r="N121" t="s">
        <v>28</v>
      </c>
      <c r="O121" s="2">
        <v>7</v>
      </c>
      <c r="P121" t="s">
        <v>29</v>
      </c>
      <c r="Q121" s="2">
        <v>1</v>
      </c>
      <c r="R121" s="2">
        <v>4</v>
      </c>
      <c r="S121" s="6">
        <f>Tabela1[[#This Row],[Experiência Anos]]+(Tabela1[[#This Row],[Experiência Meses]]/12)</f>
        <v>1.3333333333333333</v>
      </c>
      <c r="T121" s="2" t="s">
        <v>23</v>
      </c>
      <c r="U121" s="2" t="s">
        <v>30</v>
      </c>
      <c r="V121" s="2" t="s">
        <v>23</v>
      </c>
      <c r="W121" s="2" t="s">
        <v>30</v>
      </c>
      <c r="X121" s="2" t="s">
        <v>30</v>
      </c>
    </row>
    <row r="122" spans="1:24">
      <c r="A122" s="3"/>
      <c r="B122" t="s">
        <v>310</v>
      </c>
      <c r="C122" s="23">
        <v>8066</v>
      </c>
      <c r="D122" s="1">
        <v>45113</v>
      </c>
      <c r="E122" s="1" t="str">
        <f>PROPER(TEXT(Tabela1[[#This Row],[Data]],"dddd"))</f>
        <v>Quinta-Feira</v>
      </c>
      <c r="F122" s="21">
        <v>0.22916666666666666</v>
      </c>
      <c r="G122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122" t="s">
        <v>311</v>
      </c>
      <c r="I122" s="2" t="s">
        <v>23</v>
      </c>
      <c r="J122" t="s">
        <v>49</v>
      </c>
      <c r="K122" t="s">
        <v>50</v>
      </c>
      <c r="L122" t="s">
        <v>51</v>
      </c>
      <c r="M122" t="s">
        <v>56</v>
      </c>
      <c r="N122" t="s">
        <v>28</v>
      </c>
      <c r="O122" s="2">
        <v>3</v>
      </c>
      <c r="P122" t="s">
        <v>29</v>
      </c>
      <c r="Q122" s="2">
        <v>12</v>
      </c>
      <c r="R122" s="2">
        <v>10</v>
      </c>
      <c r="S122" s="6">
        <f>Tabela1[[#This Row],[Experiência Anos]]+(Tabela1[[#This Row],[Experiência Meses]]/12)</f>
        <v>12.833333333333334</v>
      </c>
      <c r="T122" s="2" t="s">
        <v>30</v>
      </c>
      <c r="U122" s="2" t="s">
        <v>23</v>
      </c>
      <c r="V122" s="2" t="s">
        <v>23</v>
      </c>
      <c r="W122" s="2" t="s">
        <v>30</v>
      </c>
      <c r="X122" s="2" t="s">
        <v>30</v>
      </c>
    </row>
    <row r="123" spans="1:24">
      <c r="A123" s="3"/>
      <c r="B123" t="s">
        <v>312</v>
      </c>
      <c r="C123" s="23">
        <v>11252</v>
      </c>
      <c r="D123" s="1">
        <v>45119</v>
      </c>
      <c r="E123" s="1" t="str">
        <f>PROPER(TEXT(Tabela1[[#This Row],[Data]],"dddd"))</f>
        <v>Quarta-Feira</v>
      </c>
      <c r="F123" s="21">
        <v>0.87847222222222221</v>
      </c>
      <c r="G123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123" t="s">
        <v>313</v>
      </c>
      <c r="I123" s="2" t="s">
        <v>23</v>
      </c>
      <c r="J123" t="s">
        <v>33</v>
      </c>
      <c r="K123" t="s">
        <v>34</v>
      </c>
      <c r="L123" t="s">
        <v>35</v>
      </c>
      <c r="M123" t="s">
        <v>314</v>
      </c>
      <c r="N123" t="s">
        <v>28</v>
      </c>
      <c r="O123" s="2">
        <v>11</v>
      </c>
      <c r="P123" t="s">
        <v>87</v>
      </c>
      <c r="Q123" s="2">
        <v>1</v>
      </c>
      <c r="R123" s="2">
        <v>7</v>
      </c>
      <c r="S123" s="6">
        <f>Tabela1[[#This Row],[Experiência Anos]]+(Tabela1[[#This Row],[Experiência Meses]]/12)</f>
        <v>1.5833333333333335</v>
      </c>
      <c r="T123" s="2" t="s">
        <v>23</v>
      </c>
      <c r="U123" s="2" t="s">
        <v>30</v>
      </c>
      <c r="V123" s="2" t="s">
        <v>23</v>
      </c>
      <c r="W123" s="2" t="s">
        <v>30</v>
      </c>
      <c r="X123" s="2" t="s">
        <v>30</v>
      </c>
    </row>
    <row r="124" spans="1:24">
      <c r="A124" s="3"/>
      <c r="B124" t="s">
        <v>315</v>
      </c>
      <c r="C124" s="23">
        <v>11066</v>
      </c>
      <c r="D124" s="1">
        <v>45120</v>
      </c>
      <c r="E124" s="1" t="str">
        <f>PROPER(TEXT(Tabela1[[#This Row],[Data]],"dddd"))</f>
        <v>Quinta-Feira</v>
      </c>
      <c r="F124" s="21">
        <v>0.19375000000000001</v>
      </c>
      <c r="G124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124" t="s">
        <v>316</v>
      </c>
      <c r="I124" s="2" t="s">
        <v>23</v>
      </c>
      <c r="J124" t="s">
        <v>49</v>
      </c>
      <c r="K124" t="s">
        <v>50</v>
      </c>
      <c r="L124" t="s">
        <v>51</v>
      </c>
      <c r="M124" t="s">
        <v>56</v>
      </c>
      <c r="N124" t="s">
        <v>28</v>
      </c>
      <c r="O124" s="2">
        <v>7</v>
      </c>
      <c r="P124" t="s">
        <v>29</v>
      </c>
      <c r="Q124" s="2">
        <v>2</v>
      </c>
      <c r="R124" s="2">
        <v>2</v>
      </c>
      <c r="S124" s="6">
        <f>Tabela1[[#This Row],[Experiência Anos]]+(Tabela1[[#This Row],[Experiência Meses]]/12)</f>
        <v>2.1666666666666665</v>
      </c>
      <c r="T124" s="2" t="s">
        <v>23</v>
      </c>
      <c r="U124" s="2" t="s">
        <v>30</v>
      </c>
      <c r="V124" s="2" t="s">
        <v>23</v>
      </c>
      <c r="W124" s="2" t="s">
        <v>30</v>
      </c>
      <c r="X124" s="2" t="s">
        <v>30</v>
      </c>
    </row>
    <row r="125" spans="1:24">
      <c r="A125" s="3"/>
      <c r="B125" t="s">
        <v>317</v>
      </c>
      <c r="C125" s="23">
        <v>10465</v>
      </c>
      <c r="D125" s="1">
        <v>45132</v>
      </c>
      <c r="E125" s="1" t="str">
        <f>PROPER(TEXT(Tabela1[[#This Row],[Data]],"dddd"))</f>
        <v>Terça-Feira</v>
      </c>
      <c r="F125" s="21">
        <v>0.51875000000000004</v>
      </c>
      <c r="G125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25" t="s">
        <v>107</v>
      </c>
      <c r="I125" s="2" t="s">
        <v>23</v>
      </c>
      <c r="J125" t="s">
        <v>39</v>
      </c>
      <c r="K125" t="s">
        <v>40</v>
      </c>
      <c r="L125" t="s">
        <v>41</v>
      </c>
      <c r="M125" t="s">
        <v>108</v>
      </c>
      <c r="N125" t="s">
        <v>28</v>
      </c>
      <c r="O125" s="2">
        <v>8</v>
      </c>
      <c r="P125" t="s">
        <v>29</v>
      </c>
      <c r="Q125" s="2">
        <v>4</v>
      </c>
      <c r="R125" s="2">
        <v>5</v>
      </c>
      <c r="S125" s="6">
        <f>Tabela1[[#This Row],[Experiência Anos]]+(Tabela1[[#This Row],[Experiência Meses]]/12)</f>
        <v>4.416666666666667</v>
      </c>
      <c r="T125" s="2" t="s">
        <v>30</v>
      </c>
      <c r="U125" s="2" t="s">
        <v>23</v>
      </c>
      <c r="V125" s="2" t="s">
        <v>23</v>
      </c>
      <c r="W125" s="2" t="s">
        <v>30</v>
      </c>
      <c r="X125" s="2" t="s">
        <v>23</v>
      </c>
    </row>
    <row r="126" spans="1:24">
      <c r="A126" s="3"/>
      <c r="B126" t="s">
        <v>318</v>
      </c>
      <c r="C126" s="23">
        <v>11231</v>
      </c>
      <c r="D126" s="1">
        <v>45139</v>
      </c>
      <c r="E126" s="1" t="str">
        <f>PROPER(TEXT(Tabela1[[#This Row],[Data]],"dddd"))</f>
        <v>Terça-Feira</v>
      </c>
      <c r="F126" s="21">
        <v>0.50416666666666665</v>
      </c>
      <c r="G12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26" t="s">
        <v>319</v>
      </c>
      <c r="I126" s="2" t="s">
        <v>30</v>
      </c>
      <c r="J126" t="s">
        <v>49</v>
      </c>
      <c r="K126" t="s">
        <v>75</v>
      </c>
      <c r="L126" t="s">
        <v>76</v>
      </c>
      <c r="M126" t="s">
        <v>320</v>
      </c>
      <c r="N126" t="s">
        <v>101</v>
      </c>
      <c r="O126" s="2">
        <v>13</v>
      </c>
      <c r="P126" t="s">
        <v>87</v>
      </c>
      <c r="Q126" s="2">
        <v>1</v>
      </c>
      <c r="R126" s="2">
        <v>9</v>
      </c>
      <c r="S126" s="6">
        <f>Tabela1[[#This Row],[Experiência Anos]]+(Tabela1[[#This Row],[Experiência Meses]]/12)</f>
        <v>1.75</v>
      </c>
      <c r="T126" s="2" t="s">
        <v>23</v>
      </c>
      <c r="U126" s="2" t="s">
        <v>23</v>
      </c>
      <c r="V126" s="2" t="s">
        <v>23</v>
      </c>
      <c r="W126" s="2" t="s">
        <v>30</v>
      </c>
      <c r="X126" s="2" t="s">
        <v>30</v>
      </c>
    </row>
    <row r="127" spans="1:24">
      <c r="A127" s="3"/>
      <c r="B127" t="s">
        <v>321</v>
      </c>
      <c r="C127" s="23">
        <v>11417</v>
      </c>
      <c r="D127" s="1">
        <v>45141</v>
      </c>
      <c r="E127" s="1" t="str">
        <f>PROPER(TEXT(Tabela1[[#This Row],[Data]],"dddd"))</f>
        <v>Quinta-Feira</v>
      </c>
      <c r="F127" s="21">
        <v>0.9375</v>
      </c>
      <c r="G127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127" t="s">
        <v>322</v>
      </c>
      <c r="I127" s="2" t="s">
        <v>23</v>
      </c>
      <c r="J127" t="s">
        <v>24</v>
      </c>
      <c r="K127" t="s">
        <v>166</v>
      </c>
      <c r="L127" t="s">
        <v>167</v>
      </c>
      <c r="M127" t="s">
        <v>56</v>
      </c>
      <c r="N127" t="s">
        <v>28</v>
      </c>
      <c r="O127" s="2">
        <v>14</v>
      </c>
      <c r="P127" t="s">
        <v>29</v>
      </c>
      <c r="Q127" s="2">
        <v>1</v>
      </c>
      <c r="R127" s="2">
        <v>3</v>
      </c>
      <c r="S127" s="6">
        <f>Tabela1[[#This Row],[Experiência Anos]]+(Tabela1[[#This Row],[Experiência Meses]]/12)</f>
        <v>1.25</v>
      </c>
      <c r="T127" s="2" t="s">
        <v>23</v>
      </c>
      <c r="U127" s="2" t="s">
        <v>23</v>
      </c>
      <c r="V127" s="2" t="s">
        <v>30</v>
      </c>
      <c r="W127" s="2" t="s">
        <v>30</v>
      </c>
      <c r="X127" s="2" t="s">
        <v>30</v>
      </c>
    </row>
    <row r="128" spans="1:24">
      <c r="A128" s="3"/>
      <c r="B128" t="s">
        <v>323</v>
      </c>
      <c r="C128" s="23">
        <v>11824</v>
      </c>
      <c r="D128" s="1">
        <v>45146</v>
      </c>
      <c r="E128" s="1" t="str">
        <f>PROPER(TEXT(Tabela1[[#This Row],[Data]],"dddd"))</f>
        <v>Terça-Feira</v>
      </c>
      <c r="F128" s="21">
        <v>0.3</v>
      </c>
      <c r="G128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28" t="s">
        <v>324</v>
      </c>
      <c r="I128" s="2" t="s">
        <v>23</v>
      </c>
      <c r="J128" t="s">
        <v>39</v>
      </c>
      <c r="K128" t="s">
        <v>40</v>
      </c>
      <c r="L128" t="s">
        <v>41</v>
      </c>
      <c r="M128" t="s">
        <v>45</v>
      </c>
      <c r="N128" t="s">
        <v>28</v>
      </c>
      <c r="O128" s="2">
        <v>13</v>
      </c>
      <c r="P128" t="s">
        <v>29</v>
      </c>
      <c r="Q128" s="2">
        <v>0</v>
      </c>
      <c r="R128" s="2">
        <v>2</v>
      </c>
      <c r="S128" s="6">
        <f>Tabela1[[#This Row],[Experiência Anos]]+(Tabela1[[#This Row],[Experiência Meses]]/12)</f>
        <v>0.16666666666666666</v>
      </c>
      <c r="T128" s="2" t="s">
        <v>23</v>
      </c>
      <c r="U128" s="2" t="s">
        <v>30</v>
      </c>
      <c r="V128" s="2" t="s">
        <v>30</v>
      </c>
      <c r="W128" s="2" t="s">
        <v>23</v>
      </c>
      <c r="X128" s="2" t="s">
        <v>30</v>
      </c>
    </row>
    <row r="129" spans="1:24">
      <c r="A129" s="3"/>
      <c r="B129" t="s">
        <v>325</v>
      </c>
      <c r="C129" s="23">
        <v>11181</v>
      </c>
      <c r="D129" s="1">
        <v>45152</v>
      </c>
      <c r="E129" s="1" t="str">
        <f>PROPER(TEXT(Tabela1[[#This Row],[Data]],"dddd"))</f>
        <v>Segunda-Feira</v>
      </c>
      <c r="F129" s="21">
        <v>0.87638888888888888</v>
      </c>
      <c r="G129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129" t="s">
        <v>326</v>
      </c>
      <c r="I129" s="2" t="s">
        <v>23</v>
      </c>
      <c r="J129" t="s">
        <v>24</v>
      </c>
      <c r="K129" t="s">
        <v>166</v>
      </c>
      <c r="L129" t="s">
        <v>167</v>
      </c>
      <c r="M129" t="s">
        <v>56</v>
      </c>
      <c r="N129" t="s">
        <v>28</v>
      </c>
      <c r="O129" s="2">
        <v>1</v>
      </c>
      <c r="P129" t="s">
        <v>78</v>
      </c>
      <c r="Q129" s="2">
        <v>2</v>
      </c>
      <c r="R129" s="2">
        <v>0</v>
      </c>
      <c r="S129" s="6">
        <f>Tabela1[[#This Row],[Experiência Anos]]+(Tabela1[[#This Row],[Experiência Meses]]/12)</f>
        <v>2</v>
      </c>
      <c r="T129" s="2" t="s">
        <v>30</v>
      </c>
      <c r="U129" s="2" t="s">
        <v>23</v>
      </c>
      <c r="V129" s="2" t="s">
        <v>30</v>
      </c>
      <c r="W129" s="2" t="s">
        <v>23</v>
      </c>
      <c r="X129" s="2" t="s">
        <v>30</v>
      </c>
    </row>
    <row r="130" spans="1:24">
      <c r="A130" s="3"/>
      <c r="B130" t="s">
        <v>327</v>
      </c>
      <c r="C130" s="23">
        <v>11826</v>
      </c>
      <c r="D130" s="1">
        <v>45173</v>
      </c>
      <c r="E130" s="1" t="str">
        <f>PROPER(TEXT(Tabela1[[#This Row],[Data]],"dddd"))</f>
        <v>Segunda-Feira</v>
      </c>
      <c r="F130" s="21">
        <v>0.96875</v>
      </c>
      <c r="G130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130" t="s">
        <v>328</v>
      </c>
      <c r="I130" s="2" t="s">
        <v>23</v>
      </c>
      <c r="J130" t="s">
        <v>33</v>
      </c>
      <c r="K130" t="s">
        <v>34</v>
      </c>
      <c r="L130" t="s">
        <v>35</v>
      </c>
      <c r="M130" t="s">
        <v>314</v>
      </c>
      <c r="N130" t="s">
        <v>28</v>
      </c>
      <c r="O130" s="2">
        <v>7</v>
      </c>
      <c r="P130" t="s">
        <v>29</v>
      </c>
      <c r="Q130" s="2">
        <v>0</v>
      </c>
      <c r="R130" s="2">
        <v>3</v>
      </c>
      <c r="S130" s="6">
        <f>Tabela1[[#This Row],[Experiência Anos]]+(Tabela1[[#This Row],[Experiência Meses]]/12)</f>
        <v>0.25</v>
      </c>
      <c r="T130" s="2" t="s">
        <v>30</v>
      </c>
      <c r="U130" s="2" t="s">
        <v>23</v>
      </c>
      <c r="V130" s="2" t="s">
        <v>23</v>
      </c>
      <c r="W130" s="2" t="s">
        <v>30</v>
      </c>
      <c r="X130" s="2" t="s">
        <v>30</v>
      </c>
    </row>
    <row r="131" spans="1:24">
      <c r="A131" s="3"/>
      <c r="B131" t="s">
        <v>329</v>
      </c>
      <c r="C131" s="23">
        <v>11788</v>
      </c>
      <c r="D131" s="1">
        <v>45173</v>
      </c>
      <c r="E131" s="1" t="str">
        <f>PROPER(TEXT(Tabela1[[#This Row],[Data]],"dddd"))</f>
        <v>Segunda-Feira</v>
      </c>
      <c r="F131" s="21">
        <v>0.34583333333333333</v>
      </c>
      <c r="G131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31" t="s">
        <v>330</v>
      </c>
      <c r="I131" s="2" t="s">
        <v>23</v>
      </c>
      <c r="J131" t="s">
        <v>24</v>
      </c>
      <c r="K131" t="s">
        <v>25</v>
      </c>
      <c r="L131" t="s">
        <v>26</v>
      </c>
      <c r="M131" t="s">
        <v>45</v>
      </c>
      <c r="N131" t="s">
        <v>28</v>
      </c>
      <c r="O131" s="2">
        <v>7</v>
      </c>
      <c r="P131" t="s">
        <v>139</v>
      </c>
      <c r="Q131" s="2">
        <v>0</v>
      </c>
      <c r="R131" s="2">
        <v>4</v>
      </c>
      <c r="S131" s="6">
        <f>Tabela1[[#This Row],[Experiência Anos]]+(Tabela1[[#This Row],[Experiência Meses]]/12)</f>
        <v>0.33333333333333331</v>
      </c>
      <c r="T131" s="2" t="s">
        <v>30</v>
      </c>
      <c r="U131" s="2" t="s">
        <v>23</v>
      </c>
      <c r="V131" s="2" t="s">
        <v>23</v>
      </c>
      <c r="W131" s="2" t="s">
        <v>30</v>
      </c>
      <c r="X131" s="2" t="s">
        <v>30</v>
      </c>
    </row>
    <row r="132" spans="1:24">
      <c r="A132" s="3"/>
      <c r="B132" t="s">
        <v>331</v>
      </c>
      <c r="C132" s="23">
        <v>11569</v>
      </c>
      <c r="D132" s="1">
        <v>45183</v>
      </c>
      <c r="E132" s="1" t="str">
        <f>PROPER(TEXT(Tabela1[[#This Row],[Data]],"dddd"))</f>
        <v>Quinta-Feira</v>
      </c>
      <c r="F132" s="21">
        <v>0.33333333333333331</v>
      </c>
      <c r="G132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32" t="s">
        <v>332</v>
      </c>
      <c r="I132" s="2" t="s">
        <v>23</v>
      </c>
      <c r="J132" t="s">
        <v>49</v>
      </c>
      <c r="K132" t="s">
        <v>50</v>
      </c>
      <c r="L132" t="s">
        <v>51</v>
      </c>
      <c r="M132" t="s">
        <v>333</v>
      </c>
      <c r="N132" t="s">
        <v>28</v>
      </c>
      <c r="O132" s="2">
        <v>8</v>
      </c>
      <c r="P132" t="s">
        <v>87</v>
      </c>
      <c r="Q132" s="2">
        <v>0</v>
      </c>
      <c r="R132" s="2">
        <v>11</v>
      </c>
      <c r="S132" s="6">
        <f>Tabela1[[#This Row],[Experiência Anos]]+(Tabela1[[#This Row],[Experiência Meses]]/12)</f>
        <v>0.91666666666666663</v>
      </c>
      <c r="T132" s="2" t="s">
        <v>30</v>
      </c>
      <c r="U132" s="2" t="s">
        <v>30</v>
      </c>
      <c r="V132" s="2" t="s">
        <v>23</v>
      </c>
      <c r="W132" s="2" t="s">
        <v>30</v>
      </c>
      <c r="X132" s="2" t="s">
        <v>30</v>
      </c>
    </row>
    <row r="133" spans="1:24">
      <c r="A133" s="3"/>
      <c r="B133" t="s">
        <v>334</v>
      </c>
      <c r="C133" s="23">
        <v>8177</v>
      </c>
      <c r="D133" s="1">
        <v>45195</v>
      </c>
      <c r="E133" s="1" t="str">
        <f>PROPER(TEXT(Tabela1[[#This Row],[Data]],"dddd"))</f>
        <v>Terça-Feira</v>
      </c>
      <c r="F133" s="21">
        <v>0.33333333333333331</v>
      </c>
      <c r="G13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33" t="s">
        <v>335</v>
      </c>
      <c r="I133" s="2" t="s">
        <v>23</v>
      </c>
      <c r="J133" t="s">
        <v>49</v>
      </c>
      <c r="K133" t="s">
        <v>75</v>
      </c>
      <c r="L133" t="s">
        <v>76</v>
      </c>
      <c r="M133" t="s">
        <v>56</v>
      </c>
      <c r="N133" t="s">
        <v>28</v>
      </c>
      <c r="O133" s="2">
        <v>15</v>
      </c>
      <c r="P133" t="s">
        <v>29</v>
      </c>
      <c r="Q133" s="2">
        <v>12</v>
      </c>
      <c r="R133" s="2">
        <v>10</v>
      </c>
      <c r="S133" s="6">
        <f>Tabela1[[#This Row],[Experiência Anos]]+(Tabela1[[#This Row],[Experiência Meses]]/12)</f>
        <v>12.833333333333334</v>
      </c>
      <c r="T133" s="2" t="s">
        <v>30</v>
      </c>
      <c r="U133" s="2" t="s">
        <v>23</v>
      </c>
      <c r="V133" s="2" t="s">
        <v>23</v>
      </c>
      <c r="W133" s="2" t="s">
        <v>30</v>
      </c>
      <c r="X133" s="2" t="s">
        <v>30</v>
      </c>
    </row>
    <row r="134" spans="1:24">
      <c r="A134" s="3"/>
      <c r="B134" t="s">
        <v>336</v>
      </c>
      <c r="C134" s="23">
        <v>11849</v>
      </c>
      <c r="D134" s="1">
        <v>45195</v>
      </c>
      <c r="E134" s="1" t="str">
        <f>PROPER(TEXT(Tabela1[[#This Row],[Data]],"dddd"))</f>
        <v>Terça-Feira</v>
      </c>
      <c r="F134" s="21">
        <v>0.3125</v>
      </c>
      <c r="G134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34" t="s">
        <v>337</v>
      </c>
      <c r="I134" s="2" t="s">
        <v>23</v>
      </c>
      <c r="J134" t="s">
        <v>24</v>
      </c>
      <c r="K134" t="s">
        <v>25</v>
      </c>
      <c r="L134" t="s">
        <v>26</v>
      </c>
      <c r="M134" t="s">
        <v>45</v>
      </c>
      <c r="N134" t="s">
        <v>28</v>
      </c>
      <c r="O134" s="2">
        <v>7</v>
      </c>
      <c r="P134" t="s">
        <v>87</v>
      </c>
      <c r="Q134" s="2">
        <v>0</v>
      </c>
      <c r="R134" s="2">
        <v>2</v>
      </c>
      <c r="S134" s="6">
        <f>Tabela1[[#This Row],[Experiência Anos]]+(Tabela1[[#This Row],[Experiência Meses]]/12)</f>
        <v>0.16666666666666666</v>
      </c>
      <c r="T134" s="2" t="s">
        <v>23</v>
      </c>
      <c r="U134" s="2" t="s">
        <v>30</v>
      </c>
      <c r="V134" s="2" t="s">
        <v>23</v>
      </c>
      <c r="W134" s="2" t="s">
        <v>30</v>
      </c>
      <c r="X134" s="2" t="s">
        <v>30</v>
      </c>
    </row>
    <row r="135" spans="1:24">
      <c r="A135" s="3"/>
      <c r="B135" t="s">
        <v>338</v>
      </c>
      <c r="C135" s="23">
        <v>10188</v>
      </c>
      <c r="D135" s="1">
        <v>45196</v>
      </c>
      <c r="E135" s="1" t="str">
        <f>PROPER(TEXT(Tabela1[[#This Row],[Data]],"dddd"))</f>
        <v>Quarta-Feira</v>
      </c>
      <c r="F135" s="21">
        <v>0.47222222222222221</v>
      </c>
      <c r="G135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35" t="s">
        <v>339</v>
      </c>
      <c r="I135" s="2" t="s">
        <v>23</v>
      </c>
      <c r="J135" t="s">
        <v>49</v>
      </c>
      <c r="K135" t="s">
        <v>211</v>
      </c>
      <c r="L135" t="s">
        <v>212</v>
      </c>
      <c r="M135" t="s">
        <v>220</v>
      </c>
      <c r="N135" t="s">
        <v>28</v>
      </c>
      <c r="O135" s="2">
        <v>7</v>
      </c>
      <c r="P135" t="s">
        <v>29</v>
      </c>
      <c r="Q135" s="2">
        <v>6</v>
      </c>
      <c r="R135" s="2">
        <v>2</v>
      </c>
      <c r="S135" s="6">
        <f>Tabela1[[#This Row],[Experiência Anos]]+(Tabela1[[#This Row],[Experiência Meses]]/12)</f>
        <v>6.166666666666667</v>
      </c>
      <c r="T135" s="2" t="s">
        <v>30</v>
      </c>
      <c r="U135" s="2" t="s">
        <v>23</v>
      </c>
      <c r="V135" s="2" t="s">
        <v>23</v>
      </c>
      <c r="W135" s="2" t="s">
        <v>30</v>
      </c>
      <c r="X135" s="2" t="s">
        <v>23</v>
      </c>
    </row>
    <row r="136" spans="1:24">
      <c r="A136" s="3"/>
      <c r="B136" t="s">
        <v>340</v>
      </c>
      <c r="C136" s="23">
        <v>11127</v>
      </c>
      <c r="D136" s="1">
        <v>45202</v>
      </c>
      <c r="E136" s="1" t="str">
        <f>PROPER(TEXT(Tabela1[[#This Row],[Data]],"dddd"))</f>
        <v>Terça-Feira</v>
      </c>
      <c r="F136" s="21">
        <v>0.1875</v>
      </c>
      <c r="G136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136" t="s">
        <v>341</v>
      </c>
      <c r="I136" s="2" t="s">
        <v>23</v>
      </c>
      <c r="J136" t="s">
        <v>49</v>
      </c>
      <c r="K136" t="s">
        <v>75</v>
      </c>
      <c r="L136" t="s">
        <v>76</v>
      </c>
      <c r="M136" t="s">
        <v>56</v>
      </c>
      <c r="N136" t="s">
        <v>28</v>
      </c>
      <c r="O136" s="2">
        <v>7</v>
      </c>
      <c r="P136" t="s">
        <v>87</v>
      </c>
      <c r="Q136" s="2">
        <v>2</v>
      </c>
      <c r="R136" s="2">
        <v>4</v>
      </c>
      <c r="S136" s="6">
        <f>Tabela1[[#This Row],[Experiência Anos]]+(Tabela1[[#This Row],[Experiência Meses]]/12)</f>
        <v>2.3333333333333335</v>
      </c>
      <c r="T136" s="2" t="s">
        <v>30</v>
      </c>
      <c r="U136" s="2" t="s">
        <v>23</v>
      </c>
      <c r="V136" s="2" t="s">
        <v>23</v>
      </c>
      <c r="W136" s="2" t="s">
        <v>30</v>
      </c>
      <c r="X136" s="2" t="s">
        <v>30</v>
      </c>
    </row>
    <row r="137" spans="1:24">
      <c r="A137" s="3"/>
      <c r="B137" t="s">
        <v>342</v>
      </c>
      <c r="C137" s="23">
        <v>8625</v>
      </c>
      <c r="D137" s="1">
        <v>45222</v>
      </c>
      <c r="E137" s="1" t="str">
        <f>PROPER(TEXT(Tabela1[[#This Row],[Data]],"dddd"))</f>
        <v>Segunda-Feira</v>
      </c>
      <c r="F137" s="21">
        <v>0.375</v>
      </c>
      <c r="G13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37" t="s">
        <v>343</v>
      </c>
      <c r="I137" s="2" t="s">
        <v>23</v>
      </c>
      <c r="J137" t="s">
        <v>49</v>
      </c>
      <c r="K137" t="s">
        <v>75</v>
      </c>
      <c r="L137" t="s">
        <v>76</v>
      </c>
      <c r="M137" t="s">
        <v>163</v>
      </c>
      <c r="N137" t="s">
        <v>28</v>
      </c>
      <c r="O137" s="2">
        <v>2</v>
      </c>
      <c r="P137" t="s">
        <v>281</v>
      </c>
      <c r="Q137" s="2">
        <v>11</v>
      </c>
      <c r="R137" s="2">
        <v>9</v>
      </c>
      <c r="S137" s="6">
        <f>Tabela1[[#This Row],[Experiência Anos]]+(Tabela1[[#This Row],[Experiência Meses]]/12)</f>
        <v>11.75</v>
      </c>
      <c r="T137" s="2" t="s">
        <v>23</v>
      </c>
      <c r="U137" s="2" t="s">
        <v>23</v>
      </c>
      <c r="V137" s="2" t="s">
        <v>23</v>
      </c>
      <c r="W137" s="2" t="s">
        <v>30</v>
      </c>
      <c r="X137" s="2" t="s">
        <v>30</v>
      </c>
    </row>
    <row r="138" spans="1:24">
      <c r="A138" s="3"/>
      <c r="B138" t="s">
        <v>344</v>
      </c>
      <c r="C138" s="23">
        <v>11288</v>
      </c>
      <c r="D138" s="1">
        <v>45226</v>
      </c>
      <c r="E138" s="1" t="str">
        <f>PROPER(TEXT(Tabela1[[#This Row],[Data]],"dddd"))</f>
        <v>Sexta-Feira</v>
      </c>
      <c r="F138" s="21">
        <v>0.375</v>
      </c>
      <c r="G138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38" t="s">
        <v>345</v>
      </c>
      <c r="I138" s="2" t="s">
        <v>23</v>
      </c>
      <c r="J138" t="s">
        <v>49</v>
      </c>
      <c r="K138" t="s">
        <v>75</v>
      </c>
      <c r="L138" t="s">
        <v>76</v>
      </c>
      <c r="M138" t="s">
        <v>56</v>
      </c>
      <c r="N138" t="s">
        <v>101</v>
      </c>
      <c r="O138" s="2">
        <v>14</v>
      </c>
      <c r="P138" t="s">
        <v>78</v>
      </c>
      <c r="Q138" s="2">
        <v>1</v>
      </c>
      <c r="R138" s="2">
        <v>10</v>
      </c>
      <c r="S138" s="6">
        <f>Tabela1[[#This Row],[Experiência Anos]]+(Tabela1[[#This Row],[Experiência Meses]]/12)</f>
        <v>1.8333333333333335</v>
      </c>
      <c r="T138" s="2" t="s">
        <v>23</v>
      </c>
      <c r="U138" s="2" t="s">
        <v>23</v>
      </c>
      <c r="V138" s="2" t="s">
        <v>23</v>
      </c>
      <c r="W138" s="2" t="s">
        <v>30</v>
      </c>
      <c r="X138" s="2" t="s">
        <v>30</v>
      </c>
    </row>
    <row r="139" spans="1:24">
      <c r="A139" s="3"/>
      <c r="B139" t="s">
        <v>346</v>
      </c>
      <c r="C139" s="23">
        <v>9843</v>
      </c>
      <c r="D139" s="1">
        <v>45230</v>
      </c>
      <c r="E139" s="1" t="str">
        <f>PROPER(TEXT(Tabela1[[#This Row],[Data]],"dddd"))</f>
        <v>Terça-Feira</v>
      </c>
      <c r="F139" s="21">
        <v>0.72222222222222221</v>
      </c>
      <c r="G139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39" t="s">
        <v>347</v>
      </c>
      <c r="I139" s="2" t="s">
        <v>23</v>
      </c>
      <c r="J139" t="s">
        <v>49</v>
      </c>
      <c r="K139" t="s">
        <v>211</v>
      </c>
      <c r="L139" t="s">
        <v>212</v>
      </c>
      <c r="M139" t="s">
        <v>348</v>
      </c>
      <c r="N139" t="s">
        <v>101</v>
      </c>
      <c r="O139" s="2">
        <v>0</v>
      </c>
      <c r="P139" t="s">
        <v>349</v>
      </c>
      <c r="Q139" s="2">
        <v>8</v>
      </c>
      <c r="R139" s="2">
        <v>0</v>
      </c>
      <c r="S139" s="6">
        <f>Tabela1[[#This Row],[Experiência Anos]]+(Tabela1[[#This Row],[Experiência Meses]]/12)</f>
        <v>8</v>
      </c>
      <c r="T139" s="2" t="s">
        <v>30</v>
      </c>
      <c r="U139" s="2" t="s">
        <v>23</v>
      </c>
      <c r="V139" s="2" t="s">
        <v>23</v>
      </c>
      <c r="W139" s="2" t="s">
        <v>30</v>
      </c>
      <c r="X139" s="2" t="s">
        <v>30</v>
      </c>
    </row>
    <row r="140" spans="1:24">
      <c r="A140" s="3"/>
      <c r="B140" t="s">
        <v>350</v>
      </c>
      <c r="C140" s="23">
        <v>8913</v>
      </c>
      <c r="D140" s="1">
        <v>45231</v>
      </c>
      <c r="E140" s="1" t="str">
        <f>PROPER(TEXT(Tabela1[[#This Row],[Data]],"dddd"))</f>
        <v>Quarta-Feira</v>
      </c>
      <c r="F140" s="21">
        <v>0.14583333333333334</v>
      </c>
      <c r="G140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140" t="s">
        <v>351</v>
      </c>
      <c r="I140" s="2" t="s">
        <v>23</v>
      </c>
      <c r="J140" t="s">
        <v>49</v>
      </c>
      <c r="K140" t="s">
        <v>75</v>
      </c>
      <c r="L140" t="s">
        <v>76</v>
      </c>
      <c r="M140" t="s">
        <v>56</v>
      </c>
      <c r="N140" t="s">
        <v>28</v>
      </c>
      <c r="O140" s="2">
        <v>1</v>
      </c>
      <c r="P140" t="s">
        <v>29</v>
      </c>
      <c r="Q140" s="2">
        <v>10</v>
      </c>
      <c r="R140" s="2">
        <v>4</v>
      </c>
      <c r="S140" s="6">
        <f>Tabela1[[#This Row],[Experiência Anos]]+(Tabela1[[#This Row],[Experiência Meses]]/12)</f>
        <v>10.333333333333334</v>
      </c>
      <c r="T140" s="2" t="s">
        <v>30</v>
      </c>
      <c r="U140" s="2" t="s">
        <v>23</v>
      </c>
      <c r="V140" s="2" t="s">
        <v>23</v>
      </c>
      <c r="W140" s="2" t="s">
        <v>30</v>
      </c>
      <c r="X140" s="2" t="s">
        <v>23</v>
      </c>
    </row>
    <row r="141" spans="1:24">
      <c r="A141" s="3"/>
      <c r="B141" t="s">
        <v>352</v>
      </c>
      <c r="C141" s="23">
        <v>10612</v>
      </c>
      <c r="D141" s="1">
        <v>45233</v>
      </c>
      <c r="E141" s="1" t="str">
        <f>PROPER(TEXT(Tabela1[[#This Row],[Data]],"dddd"))</f>
        <v>Sexta-Feira</v>
      </c>
      <c r="F141" s="21">
        <v>0.53263888888888888</v>
      </c>
      <c r="G14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41" t="s">
        <v>353</v>
      </c>
      <c r="I141" s="2" t="s">
        <v>23</v>
      </c>
      <c r="J141" t="s">
        <v>33</v>
      </c>
      <c r="K141" t="s">
        <v>34</v>
      </c>
      <c r="L141" t="s">
        <v>35</v>
      </c>
      <c r="M141" t="s">
        <v>172</v>
      </c>
      <c r="N141" t="s">
        <v>28</v>
      </c>
      <c r="O141" s="2">
        <v>7</v>
      </c>
      <c r="P141" t="s">
        <v>139</v>
      </c>
      <c r="Q141" s="2">
        <v>4</v>
      </c>
      <c r="R141" s="2">
        <v>3</v>
      </c>
      <c r="S141" s="6">
        <f>Tabela1[[#This Row],[Experiência Anos]]+(Tabela1[[#This Row],[Experiência Meses]]/12)</f>
        <v>4.25</v>
      </c>
      <c r="T141" s="2" t="s">
        <v>30</v>
      </c>
      <c r="U141" s="2" t="s">
        <v>30</v>
      </c>
      <c r="V141" s="2" t="s">
        <v>30</v>
      </c>
      <c r="W141" s="2" t="s">
        <v>23</v>
      </c>
      <c r="X141" s="2" t="s">
        <v>30</v>
      </c>
    </row>
    <row r="142" spans="1:24">
      <c r="A142" s="3"/>
      <c r="B142" t="s">
        <v>354</v>
      </c>
      <c r="C142" s="23">
        <v>11849</v>
      </c>
      <c r="D142" s="1">
        <v>45238</v>
      </c>
      <c r="E142" s="1" t="str">
        <f>PROPER(TEXT(Tabela1[[#This Row],[Data]],"dddd"))</f>
        <v>Quarta-Feira</v>
      </c>
      <c r="F142" s="21">
        <v>0.5</v>
      </c>
      <c r="G14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42" t="s">
        <v>337</v>
      </c>
      <c r="I142" s="2" t="s">
        <v>23</v>
      </c>
      <c r="J142" t="s">
        <v>24</v>
      </c>
      <c r="K142" t="s">
        <v>25</v>
      </c>
      <c r="L142" t="s">
        <v>26</v>
      </c>
      <c r="M142" t="s">
        <v>45</v>
      </c>
      <c r="N142" t="s">
        <v>28</v>
      </c>
      <c r="O142" s="2">
        <v>1</v>
      </c>
      <c r="P142" t="s">
        <v>46</v>
      </c>
      <c r="Q142" s="2">
        <v>0</v>
      </c>
      <c r="R142" s="2">
        <v>0</v>
      </c>
      <c r="S142" s="6">
        <f>Tabela1[[#This Row],[Experiência Anos]]+(Tabela1[[#This Row],[Experiência Meses]]/12)</f>
        <v>0</v>
      </c>
      <c r="T142" s="2" t="s">
        <v>23</v>
      </c>
      <c r="U142" s="2" t="s">
        <v>30</v>
      </c>
      <c r="V142" s="2" t="s">
        <v>23</v>
      </c>
      <c r="W142" s="2" t="s">
        <v>30</v>
      </c>
      <c r="X142" s="2" t="s">
        <v>30</v>
      </c>
    </row>
    <row r="143" spans="1:24">
      <c r="A143" s="3"/>
      <c r="B143" t="s">
        <v>355</v>
      </c>
      <c r="C143" s="23">
        <v>11413</v>
      </c>
      <c r="D143" s="1">
        <v>45239</v>
      </c>
      <c r="E143" s="1" t="str">
        <f>PROPER(TEXT(Tabela1[[#This Row],[Data]],"dddd"))</f>
        <v>Quinta-Feira</v>
      </c>
      <c r="F143" s="21">
        <v>0.41666666666666669</v>
      </c>
      <c r="G14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43" t="s">
        <v>356</v>
      </c>
      <c r="I143" s="2" t="s">
        <v>23</v>
      </c>
      <c r="J143" t="s">
        <v>49</v>
      </c>
      <c r="K143" t="s">
        <v>75</v>
      </c>
      <c r="L143" t="s">
        <v>76</v>
      </c>
      <c r="M143" t="s">
        <v>56</v>
      </c>
      <c r="N143" t="s">
        <v>28</v>
      </c>
      <c r="O143" s="2">
        <v>7</v>
      </c>
      <c r="P143" t="s">
        <v>139</v>
      </c>
      <c r="Q143" s="2">
        <v>2</v>
      </c>
      <c r="R143" s="2">
        <v>0</v>
      </c>
      <c r="S143" s="6">
        <f>Tabela1[[#This Row],[Experiência Anos]]+(Tabela1[[#This Row],[Experiência Meses]]/12)</f>
        <v>2</v>
      </c>
      <c r="T143" s="2" t="s">
        <v>30</v>
      </c>
      <c r="U143" s="2" t="s">
        <v>23</v>
      </c>
      <c r="V143" s="2" t="s">
        <v>23</v>
      </c>
      <c r="W143" s="2" t="s">
        <v>30</v>
      </c>
      <c r="X143" s="2" t="s">
        <v>30</v>
      </c>
    </row>
    <row r="144" spans="1:24">
      <c r="A144" s="3"/>
      <c r="B144" t="s">
        <v>357</v>
      </c>
      <c r="C144" s="23">
        <v>11567</v>
      </c>
      <c r="D144" s="1">
        <v>45262</v>
      </c>
      <c r="E144" s="1" t="str">
        <f>PROPER(TEXT(Tabela1[[#This Row],[Data]],"dddd"))</f>
        <v>Sábado</v>
      </c>
      <c r="F144" s="21">
        <v>0.5625</v>
      </c>
      <c r="G144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44" t="s">
        <v>358</v>
      </c>
      <c r="I144" s="2" t="s">
        <v>23</v>
      </c>
      <c r="J144" t="s">
        <v>49</v>
      </c>
      <c r="K144" t="s">
        <v>50</v>
      </c>
      <c r="L144" t="s">
        <v>51</v>
      </c>
      <c r="M144" t="s">
        <v>56</v>
      </c>
      <c r="N144" t="s">
        <v>28</v>
      </c>
      <c r="O144" s="2">
        <v>3</v>
      </c>
      <c r="P144" t="s">
        <v>139</v>
      </c>
      <c r="Q144" s="2">
        <v>1</v>
      </c>
      <c r="R144" s="2">
        <v>1</v>
      </c>
      <c r="S144" s="6">
        <f>Tabela1[[#This Row],[Experiência Anos]]+(Tabela1[[#This Row],[Experiência Meses]]/12)</f>
        <v>1.0833333333333333</v>
      </c>
      <c r="T144" s="2" t="s">
        <v>30</v>
      </c>
      <c r="U144" s="2" t="s">
        <v>30</v>
      </c>
      <c r="V144" s="2" t="s">
        <v>23</v>
      </c>
      <c r="W144" s="2" t="s">
        <v>30</v>
      </c>
      <c r="X144" s="2" t="s">
        <v>30</v>
      </c>
    </row>
    <row r="145" spans="1:24">
      <c r="A145" s="3"/>
      <c r="B145" t="s">
        <v>359</v>
      </c>
      <c r="C145" s="23">
        <v>11339</v>
      </c>
      <c r="D145" s="1">
        <v>45265</v>
      </c>
      <c r="E145" s="1" t="str">
        <f>PROPER(TEXT(Tabela1[[#This Row],[Data]],"dddd"))</f>
        <v>Terça-Feira</v>
      </c>
      <c r="F145" s="21">
        <v>0.94236111111111109</v>
      </c>
      <c r="G145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145" t="s">
        <v>360</v>
      </c>
      <c r="I145" s="2" t="s">
        <v>23</v>
      </c>
      <c r="J145" t="s">
        <v>24</v>
      </c>
      <c r="K145" t="s">
        <v>25</v>
      </c>
      <c r="L145" t="s">
        <v>26</v>
      </c>
      <c r="M145" t="s">
        <v>45</v>
      </c>
      <c r="N145" t="s">
        <v>28</v>
      </c>
      <c r="O145" s="2">
        <v>15</v>
      </c>
      <c r="P145" t="s">
        <v>29</v>
      </c>
      <c r="Q145" s="2">
        <v>1</v>
      </c>
      <c r="R145" s="2">
        <v>9</v>
      </c>
      <c r="S145" s="6">
        <f>Tabela1[[#This Row],[Experiência Anos]]+(Tabela1[[#This Row],[Experiência Meses]]/12)</f>
        <v>1.75</v>
      </c>
      <c r="T145" s="2" t="s">
        <v>30</v>
      </c>
      <c r="U145" s="2" t="s">
        <v>30</v>
      </c>
      <c r="V145" s="2" t="s">
        <v>23</v>
      </c>
      <c r="W145" s="2" t="s">
        <v>30</v>
      </c>
      <c r="X145" s="2" t="s">
        <v>30</v>
      </c>
    </row>
    <row r="146" spans="1:24">
      <c r="A146" s="3"/>
      <c r="B146" t="s">
        <v>361</v>
      </c>
      <c r="C146" s="23">
        <v>11714</v>
      </c>
      <c r="D146" s="1">
        <v>45295</v>
      </c>
      <c r="E146" s="1" t="str">
        <f>PROPER(TEXT(Tabela1[[#This Row],[Data]],"dddd"))</f>
        <v>Quinta-Feira</v>
      </c>
      <c r="F146" s="21">
        <v>0.58333333333333337</v>
      </c>
      <c r="G14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46" t="s">
        <v>362</v>
      </c>
      <c r="I146" s="2" t="s">
        <v>23</v>
      </c>
      <c r="J146" t="s">
        <v>24</v>
      </c>
      <c r="K146" t="s">
        <v>25</v>
      </c>
      <c r="L146" t="s">
        <v>26</v>
      </c>
      <c r="M146" t="s">
        <v>45</v>
      </c>
      <c r="N146" t="s">
        <v>28</v>
      </c>
      <c r="O146" s="2">
        <v>2</v>
      </c>
      <c r="P146" t="s">
        <v>281</v>
      </c>
      <c r="Q146" s="2">
        <v>0</v>
      </c>
      <c r="R146" s="2">
        <v>10</v>
      </c>
      <c r="S146" s="6">
        <f>Tabela1[[#This Row],[Experiência Anos]]+(Tabela1[[#This Row],[Experiência Meses]]/12)</f>
        <v>0.83333333333333337</v>
      </c>
      <c r="T146" s="2" t="s">
        <v>23</v>
      </c>
      <c r="U146" s="2" t="s">
        <v>30</v>
      </c>
      <c r="V146" s="2" t="s">
        <v>23</v>
      </c>
      <c r="W146" s="2" t="s">
        <v>30</v>
      </c>
      <c r="X146" s="2" t="s">
        <v>30</v>
      </c>
    </row>
    <row r="147" spans="1:24">
      <c r="A147" s="3"/>
      <c r="B147" t="s">
        <v>363</v>
      </c>
      <c r="C147" s="23">
        <v>10274</v>
      </c>
      <c r="D147" s="1">
        <v>45296</v>
      </c>
      <c r="E147" s="1" t="str">
        <f>PROPER(TEXT(Tabela1[[#This Row],[Data]],"dddd"))</f>
        <v>Sexta-Feira</v>
      </c>
      <c r="F147" s="21">
        <v>0.58333333333333337</v>
      </c>
      <c r="G147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47" t="s">
        <v>86</v>
      </c>
      <c r="I147" s="2" t="s">
        <v>23</v>
      </c>
      <c r="J147" t="s">
        <v>49</v>
      </c>
      <c r="K147" t="s">
        <v>50</v>
      </c>
      <c r="L147" t="s">
        <v>51</v>
      </c>
      <c r="M147" t="s">
        <v>56</v>
      </c>
      <c r="N147" t="s">
        <v>28</v>
      </c>
      <c r="O147" s="2">
        <v>1</v>
      </c>
      <c r="P147" t="s">
        <v>139</v>
      </c>
      <c r="Q147" s="2">
        <v>6</v>
      </c>
      <c r="R147" s="2">
        <v>1</v>
      </c>
      <c r="S147" s="6">
        <f>Tabela1[[#This Row],[Experiência Anos]]+(Tabela1[[#This Row],[Experiência Meses]]/12)</f>
        <v>6.083333333333333</v>
      </c>
      <c r="T147" s="2" t="s">
        <v>23</v>
      </c>
      <c r="U147" s="2" t="s">
        <v>23</v>
      </c>
      <c r="V147" s="2" t="s">
        <v>23</v>
      </c>
      <c r="W147" s="2" t="s">
        <v>30</v>
      </c>
      <c r="X147" s="2" t="s">
        <v>30</v>
      </c>
    </row>
    <row r="148" spans="1:24">
      <c r="A148" s="3"/>
      <c r="B148" t="s">
        <v>364</v>
      </c>
      <c r="C148" s="23">
        <v>11929</v>
      </c>
      <c r="D148" s="1">
        <v>45296</v>
      </c>
      <c r="E148" s="1" t="str">
        <f>PROPER(TEXT(Tabela1[[#This Row],[Data]],"dddd"))</f>
        <v>Sexta-Feira</v>
      </c>
      <c r="F148" s="21">
        <v>0.65972222222222221</v>
      </c>
      <c r="G14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48" t="s">
        <v>365</v>
      </c>
      <c r="I148" s="2" t="s">
        <v>23</v>
      </c>
      <c r="J148" t="s">
        <v>24</v>
      </c>
      <c r="K148" t="s">
        <v>25</v>
      </c>
      <c r="L148" t="s">
        <v>26</v>
      </c>
      <c r="M148" t="s">
        <v>45</v>
      </c>
      <c r="N148" t="s">
        <v>28</v>
      </c>
      <c r="O148" s="2">
        <v>5</v>
      </c>
      <c r="P148" t="s">
        <v>29</v>
      </c>
      <c r="Q148" s="2">
        <v>0</v>
      </c>
      <c r="R148" s="2">
        <v>2</v>
      </c>
      <c r="S148" s="6">
        <f>Tabela1[[#This Row],[Experiência Anos]]+(Tabela1[[#This Row],[Experiência Meses]]/12)</f>
        <v>0.16666666666666666</v>
      </c>
      <c r="T148" s="2" t="s">
        <v>30</v>
      </c>
      <c r="U148" s="2" t="s">
        <v>30</v>
      </c>
      <c r="V148" s="2" t="s">
        <v>23</v>
      </c>
      <c r="W148" s="2" t="s">
        <v>30</v>
      </c>
      <c r="X148" s="2" t="s">
        <v>30</v>
      </c>
    </row>
    <row r="149" spans="1:24">
      <c r="A149" s="3"/>
      <c r="B149" t="s">
        <v>366</v>
      </c>
      <c r="C149" s="23">
        <v>10274</v>
      </c>
      <c r="D149" s="1">
        <v>45299</v>
      </c>
      <c r="E149" s="1" t="str">
        <f>PROPER(TEXT(Tabela1[[#This Row],[Data]],"dddd"))</f>
        <v>Segunda-Feira</v>
      </c>
      <c r="F149" s="21">
        <v>0.51388888888888884</v>
      </c>
      <c r="G149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49" t="s">
        <v>86</v>
      </c>
      <c r="I149" s="2" t="s">
        <v>23</v>
      </c>
      <c r="J149" t="s">
        <v>49</v>
      </c>
      <c r="K149" t="s">
        <v>50</v>
      </c>
      <c r="L149" t="s">
        <v>51</v>
      </c>
      <c r="M149" t="s">
        <v>56</v>
      </c>
      <c r="N149" t="s">
        <v>28</v>
      </c>
      <c r="O149" s="2">
        <v>8</v>
      </c>
      <c r="P149" t="s">
        <v>139</v>
      </c>
      <c r="Q149" s="2">
        <v>6</v>
      </c>
      <c r="R149" s="2">
        <v>1</v>
      </c>
      <c r="S149" s="6">
        <f>Tabela1[[#This Row],[Experiência Anos]]+(Tabela1[[#This Row],[Experiência Meses]]/12)</f>
        <v>6.083333333333333</v>
      </c>
      <c r="T149" s="2" t="s">
        <v>30</v>
      </c>
      <c r="U149" s="2" t="s">
        <v>23</v>
      </c>
      <c r="V149" s="2" t="s">
        <v>23</v>
      </c>
      <c r="W149" s="2" t="s">
        <v>30</v>
      </c>
      <c r="X149" s="2" t="s">
        <v>30</v>
      </c>
    </row>
    <row r="150" spans="1:24">
      <c r="A150" s="3"/>
      <c r="B150" t="s">
        <v>367</v>
      </c>
      <c r="C150" s="23">
        <v>10728</v>
      </c>
      <c r="D150" s="1">
        <v>45308</v>
      </c>
      <c r="E150" s="1" t="str">
        <f>PROPER(TEXT(Tabela1[[#This Row],[Data]],"dddd"))</f>
        <v>Quarta-Feira</v>
      </c>
      <c r="F150" s="21">
        <v>0.70138888888888884</v>
      </c>
      <c r="G150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50" t="s">
        <v>185</v>
      </c>
      <c r="I150" s="2" t="s">
        <v>23</v>
      </c>
      <c r="J150" t="s">
        <v>24</v>
      </c>
      <c r="K150" t="s">
        <v>25</v>
      </c>
      <c r="L150" t="s">
        <v>26</v>
      </c>
      <c r="M150" t="s">
        <v>56</v>
      </c>
      <c r="N150" t="s">
        <v>28</v>
      </c>
      <c r="O150" s="2">
        <v>0</v>
      </c>
      <c r="P150" t="s">
        <v>29</v>
      </c>
      <c r="Q150" s="2">
        <v>3</v>
      </c>
      <c r="R150" s="2">
        <v>11</v>
      </c>
      <c r="S150" s="6">
        <f>Tabela1[[#This Row],[Experiência Anos]]+(Tabela1[[#This Row],[Experiência Meses]]/12)</f>
        <v>3.9166666666666665</v>
      </c>
      <c r="T150" s="2" t="s">
        <v>30</v>
      </c>
      <c r="U150" s="2" t="s">
        <v>23</v>
      </c>
      <c r="V150" s="2" t="s">
        <v>23</v>
      </c>
      <c r="W150" s="2" t="s">
        <v>30</v>
      </c>
      <c r="X150" s="2" t="s">
        <v>30</v>
      </c>
    </row>
    <row r="151" spans="1:24">
      <c r="A151" s="3"/>
      <c r="B151" t="s">
        <v>368</v>
      </c>
      <c r="C151" s="23">
        <v>10939</v>
      </c>
      <c r="D151" s="1">
        <v>45313</v>
      </c>
      <c r="E151" s="1" t="str">
        <f>PROPER(TEXT(Tabela1[[#This Row],[Data]],"dddd"))</f>
        <v>Segunda-Feira</v>
      </c>
      <c r="F151" s="21">
        <v>0.41666666666666669</v>
      </c>
      <c r="G151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51" t="s">
        <v>369</v>
      </c>
      <c r="I151" s="2" t="s">
        <v>23</v>
      </c>
      <c r="J151" t="s">
        <v>33</v>
      </c>
      <c r="K151" t="s">
        <v>34</v>
      </c>
      <c r="L151" t="s">
        <v>35</v>
      </c>
      <c r="M151" t="s">
        <v>314</v>
      </c>
      <c r="N151" t="s">
        <v>28</v>
      </c>
      <c r="O151" s="2">
        <v>2</v>
      </c>
      <c r="P151" t="s">
        <v>70</v>
      </c>
      <c r="Q151" s="2">
        <v>3</v>
      </c>
      <c r="R151" s="2">
        <v>2</v>
      </c>
      <c r="S151" s="6">
        <f>Tabela1[[#This Row],[Experiência Anos]]+(Tabela1[[#This Row],[Experiência Meses]]/12)</f>
        <v>3.1666666666666665</v>
      </c>
      <c r="T151" s="2" t="s">
        <v>23</v>
      </c>
      <c r="U151" s="2" t="s">
        <v>30</v>
      </c>
      <c r="V151" s="2" t="s">
        <v>23</v>
      </c>
      <c r="W151" s="2" t="s">
        <v>30</v>
      </c>
      <c r="X151" s="2" t="s">
        <v>30</v>
      </c>
    </row>
    <row r="152" spans="1:24">
      <c r="A152" s="3"/>
      <c r="B152" t="s">
        <v>370</v>
      </c>
      <c r="C152" s="23">
        <v>8001</v>
      </c>
      <c r="D152" s="1">
        <v>45315</v>
      </c>
      <c r="E152" s="1" t="str">
        <f>PROPER(TEXT(Tabela1[[#This Row],[Data]],"dddd"))</f>
        <v>Quarta-Feira</v>
      </c>
      <c r="F152" s="21">
        <v>0.39583333333333331</v>
      </c>
      <c r="G152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52" t="s">
        <v>250</v>
      </c>
      <c r="I152" s="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s="2">
        <v>3</v>
      </c>
      <c r="P152" t="s">
        <v>84</v>
      </c>
      <c r="Q152" s="2">
        <v>13</v>
      </c>
      <c r="R152" s="2">
        <v>0</v>
      </c>
      <c r="S152" s="6">
        <f>Tabela1[[#This Row],[Experiência Anos]]+(Tabela1[[#This Row],[Experiência Meses]]/12)</f>
        <v>13</v>
      </c>
      <c r="T152" s="2" t="s">
        <v>30</v>
      </c>
      <c r="U152" s="2" t="s">
        <v>23</v>
      </c>
      <c r="V152" s="2" t="s">
        <v>23</v>
      </c>
      <c r="W152" s="2" t="s">
        <v>30</v>
      </c>
      <c r="X152" s="2" t="s">
        <v>30</v>
      </c>
    </row>
    <row r="153" spans="1:24">
      <c r="A153" s="3"/>
      <c r="B153" t="s">
        <v>371</v>
      </c>
      <c r="C153" s="23">
        <v>11149</v>
      </c>
      <c r="D153" s="1">
        <v>45323</v>
      </c>
      <c r="E153" s="1" t="str">
        <f>PROPER(TEXT(Tabela1[[#This Row],[Data]],"dddd"))</f>
        <v>Quinta-Feira</v>
      </c>
      <c r="F153" s="21">
        <v>0.35416666666666669</v>
      </c>
      <c r="G15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53" t="s">
        <v>126</v>
      </c>
      <c r="I153" s="2" t="s">
        <v>23</v>
      </c>
      <c r="J153" t="s">
        <v>24</v>
      </c>
      <c r="K153" t="s">
        <v>25</v>
      </c>
      <c r="L153" t="s">
        <v>26</v>
      </c>
      <c r="M153" t="s">
        <v>269</v>
      </c>
      <c r="N153" t="s">
        <v>101</v>
      </c>
      <c r="O153" s="2">
        <v>15</v>
      </c>
      <c r="P153" t="s">
        <v>139</v>
      </c>
      <c r="Q153" s="2">
        <v>2</v>
      </c>
      <c r="R153" s="2">
        <v>7</v>
      </c>
      <c r="S153" s="6">
        <f>Tabela1[[#This Row],[Experiência Anos]]+(Tabela1[[#This Row],[Experiência Meses]]/12)</f>
        <v>2.5833333333333335</v>
      </c>
      <c r="T153" s="2" t="s">
        <v>23</v>
      </c>
      <c r="U153" s="2" t="s">
        <v>23</v>
      </c>
      <c r="V153" s="2" t="s">
        <v>23</v>
      </c>
      <c r="W153" s="2" t="s">
        <v>30</v>
      </c>
      <c r="X153" s="2" t="s">
        <v>30</v>
      </c>
    </row>
    <row r="154" spans="1:24">
      <c r="A154" s="3"/>
      <c r="B154" t="s">
        <v>372</v>
      </c>
      <c r="C154" s="23">
        <v>7367</v>
      </c>
      <c r="D154" s="1">
        <v>45329</v>
      </c>
      <c r="E154" s="1" t="str">
        <f>PROPER(TEXT(Tabela1[[#This Row],[Data]],"dddd"))</f>
        <v>Quarta-Feira</v>
      </c>
      <c r="F154" s="21">
        <v>0.45833333333333331</v>
      </c>
      <c r="G154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54" t="s">
        <v>22</v>
      </c>
      <c r="I154" s="2" t="s">
        <v>30</v>
      </c>
      <c r="J154" t="s">
        <v>24</v>
      </c>
      <c r="K154" t="s">
        <v>25</v>
      </c>
      <c r="L154" t="s">
        <v>26</v>
      </c>
      <c r="M154" t="s">
        <v>27</v>
      </c>
      <c r="N154" t="s">
        <v>28</v>
      </c>
      <c r="O154" s="2">
        <v>15</v>
      </c>
      <c r="P154" t="s">
        <v>29</v>
      </c>
      <c r="Q154" s="2">
        <v>22</v>
      </c>
      <c r="R154" s="2">
        <v>0</v>
      </c>
      <c r="S154" s="6">
        <f>Tabela1[[#This Row],[Experiência Anos]]+(Tabela1[[#This Row],[Experiência Meses]]/12)</f>
        <v>22</v>
      </c>
      <c r="T154" s="2" t="s">
        <v>23</v>
      </c>
      <c r="U154" s="2" t="s">
        <v>30</v>
      </c>
      <c r="V154" s="2" t="s">
        <v>23</v>
      </c>
      <c r="W154" s="2" t="s">
        <v>30</v>
      </c>
      <c r="X154" s="2" t="s">
        <v>30</v>
      </c>
    </row>
    <row r="155" spans="1:24">
      <c r="A155" s="3"/>
      <c r="B155" t="s">
        <v>373</v>
      </c>
      <c r="C155" s="23">
        <v>11821</v>
      </c>
      <c r="D155" s="1">
        <v>45337</v>
      </c>
      <c r="E155" s="1" t="str">
        <f>PROPER(TEXT(Tabela1[[#This Row],[Data]],"dddd"))</f>
        <v>Quinta-Feira</v>
      </c>
      <c r="F155" s="21">
        <v>0.65625</v>
      </c>
      <c r="G155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55" t="s">
        <v>374</v>
      </c>
      <c r="I155" s="2" t="s">
        <v>23</v>
      </c>
      <c r="J155" t="s">
        <v>49</v>
      </c>
      <c r="K155" t="s">
        <v>211</v>
      </c>
      <c r="L155" t="s">
        <v>212</v>
      </c>
      <c r="M155" t="s">
        <v>578</v>
      </c>
      <c r="N155" t="s">
        <v>28</v>
      </c>
      <c r="O155" s="2">
        <v>0</v>
      </c>
      <c r="P155" t="s">
        <v>29</v>
      </c>
      <c r="Q155" s="2">
        <v>0</v>
      </c>
      <c r="R155" s="2">
        <v>8</v>
      </c>
      <c r="S155" s="6">
        <f>Tabela1[[#This Row],[Experiência Anos]]+(Tabela1[[#This Row],[Experiência Meses]]/12)</f>
        <v>0.66666666666666663</v>
      </c>
      <c r="T155" s="2" t="s">
        <v>23</v>
      </c>
      <c r="U155" s="2" t="s">
        <v>23</v>
      </c>
      <c r="V155" s="2" t="s">
        <v>23</v>
      </c>
      <c r="W155" s="2" t="s">
        <v>30</v>
      </c>
      <c r="X155" s="2" t="s">
        <v>30</v>
      </c>
    </row>
    <row r="156" spans="1:24">
      <c r="A156" s="3"/>
      <c r="B156" t="s">
        <v>375</v>
      </c>
      <c r="C156" s="23">
        <v>11931</v>
      </c>
      <c r="D156" s="1">
        <v>45343</v>
      </c>
      <c r="E156" s="1" t="str">
        <f>PROPER(TEXT(Tabela1[[#This Row],[Data]],"dddd"))</f>
        <v>Quarta-Feira</v>
      </c>
      <c r="F156" s="21">
        <v>0.45833333333333331</v>
      </c>
      <c r="G156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56" t="s">
        <v>376</v>
      </c>
      <c r="I156" s="2" t="s">
        <v>23</v>
      </c>
      <c r="J156" t="s">
        <v>24</v>
      </c>
      <c r="K156" t="s">
        <v>25</v>
      </c>
      <c r="L156" t="s">
        <v>26</v>
      </c>
      <c r="M156" t="s">
        <v>45</v>
      </c>
      <c r="N156" t="s">
        <v>28</v>
      </c>
      <c r="O156" s="2">
        <v>3</v>
      </c>
      <c r="P156" t="s">
        <v>87</v>
      </c>
      <c r="Q156" s="2">
        <v>0</v>
      </c>
      <c r="R156" s="2">
        <v>3</v>
      </c>
      <c r="S156" s="6">
        <f>Tabela1[[#This Row],[Experiência Anos]]+(Tabela1[[#This Row],[Experiência Meses]]/12)</f>
        <v>0.25</v>
      </c>
      <c r="T156" s="2" t="s">
        <v>23</v>
      </c>
      <c r="U156" s="2" t="s">
        <v>30</v>
      </c>
      <c r="V156" s="2" t="s">
        <v>23</v>
      </c>
      <c r="W156" s="2" t="s">
        <v>30</v>
      </c>
      <c r="X156" s="2" t="s">
        <v>30</v>
      </c>
    </row>
    <row r="157" spans="1:24">
      <c r="A157" s="3"/>
      <c r="B157" t="s">
        <v>377</v>
      </c>
      <c r="C157" s="23">
        <v>10606</v>
      </c>
      <c r="D157" s="1">
        <v>45357</v>
      </c>
      <c r="E157" s="1" t="str">
        <f>PROPER(TEXT(Tabela1[[#This Row],[Data]],"dddd"))</f>
        <v>Quarta-Feira</v>
      </c>
      <c r="F157" s="21">
        <v>0.72291666666666665</v>
      </c>
      <c r="G157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57" t="s">
        <v>378</v>
      </c>
      <c r="I157" s="2" t="s">
        <v>23</v>
      </c>
      <c r="J157" t="s">
        <v>49</v>
      </c>
      <c r="K157" t="s">
        <v>50</v>
      </c>
      <c r="L157" t="s">
        <v>51</v>
      </c>
      <c r="M157" t="s">
        <v>27</v>
      </c>
      <c r="N157" t="s">
        <v>28</v>
      </c>
      <c r="O157" s="2">
        <v>2</v>
      </c>
      <c r="P157" t="s">
        <v>29</v>
      </c>
      <c r="Q157" s="2">
        <v>4</v>
      </c>
      <c r="R157" s="2">
        <v>9</v>
      </c>
      <c r="S157" s="6">
        <f>Tabela1[[#This Row],[Experiência Anos]]+(Tabela1[[#This Row],[Experiência Meses]]/12)</f>
        <v>4.75</v>
      </c>
      <c r="T157" s="2" t="s">
        <v>23</v>
      </c>
      <c r="U157" s="2" t="s">
        <v>23</v>
      </c>
      <c r="V157" s="2" t="s">
        <v>23</v>
      </c>
      <c r="W157" s="2" t="s">
        <v>30</v>
      </c>
      <c r="X157" s="2" t="s">
        <v>30</v>
      </c>
    </row>
    <row r="158" spans="1:24">
      <c r="A158" s="3"/>
      <c r="B158" t="s">
        <v>379</v>
      </c>
      <c r="C158" s="23">
        <v>11217</v>
      </c>
      <c r="D158" s="1">
        <v>45364</v>
      </c>
      <c r="E158" s="1" t="str">
        <f>PROPER(TEXT(Tabela1[[#This Row],[Data]],"dddd"))</f>
        <v>Quarta-Feira</v>
      </c>
      <c r="F158" s="21">
        <v>0.17847222222222223</v>
      </c>
      <c r="G158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158" t="s">
        <v>380</v>
      </c>
      <c r="I158" s="2" t="s">
        <v>23</v>
      </c>
      <c r="J158" t="s">
        <v>24</v>
      </c>
      <c r="K158" t="s">
        <v>25</v>
      </c>
      <c r="L158" t="s">
        <v>26</v>
      </c>
      <c r="M158" t="s">
        <v>45</v>
      </c>
      <c r="N158" t="s">
        <v>28</v>
      </c>
      <c r="O158" s="2">
        <v>7</v>
      </c>
      <c r="P158" t="s">
        <v>29</v>
      </c>
      <c r="Q158" s="2">
        <v>2</v>
      </c>
      <c r="R158" s="2">
        <v>6</v>
      </c>
      <c r="S158" s="6">
        <f>Tabela1[[#This Row],[Experiência Anos]]+(Tabela1[[#This Row],[Experiência Meses]]/12)</f>
        <v>2.5</v>
      </c>
      <c r="T158" s="2" t="s">
        <v>30</v>
      </c>
      <c r="U158" s="2" t="s">
        <v>23</v>
      </c>
      <c r="V158" s="2" t="s">
        <v>23</v>
      </c>
      <c r="W158" s="2" t="s">
        <v>30</v>
      </c>
      <c r="X158" s="2" t="s">
        <v>23</v>
      </c>
    </row>
    <row r="159" spans="1:24">
      <c r="A159" s="3"/>
      <c r="B159" t="s">
        <v>381</v>
      </c>
      <c r="C159" s="23">
        <v>9151</v>
      </c>
      <c r="D159" s="1">
        <v>45366</v>
      </c>
      <c r="E159" s="1" t="str">
        <f>PROPER(TEXT(Tabela1[[#This Row],[Data]],"dddd"))</f>
        <v>Sexta-Feira</v>
      </c>
      <c r="F159" s="21">
        <v>0.17708333333333334</v>
      </c>
      <c r="G159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159" t="s">
        <v>382</v>
      </c>
      <c r="I159" s="2" t="s">
        <v>23</v>
      </c>
      <c r="J159" t="s">
        <v>24</v>
      </c>
      <c r="K159" t="s">
        <v>166</v>
      </c>
      <c r="L159" t="s">
        <v>167</v>
      </c>
      <c r="M159" t="s">
        <v>163</v>
      </c>
      <c r="N159" t="s">
        <v>28</v>
      </c>
      <c r="O159" s="2">
        <v>10</v>
      </c>
      <c r="P159" t="s">
        <v>281</v>
      </c>
      <c r="Q159" s="2">
        <v>10</v>
      </c>
      <c r="R159" s="2">
        <v>8</v>
      </c>
      <c r="S159" s="6">
        <f>Tabela1[[#This Row],[Experiência Anos]]+(Tabela1[[#This Row],[Experiência Meses]]/12)</f>
        <v>10.666666666666666</v>
      </c>
      <c r="T159" s="2" t="s">
        <v>30</v>
      </c>
      <c r="U159" s="2" t="s">
        <v>30</v>
      </c>
      <c r="V159" s="2" t="s">
        <v>30</v>
      </c>
      <c r="W159" s="2" t="s">
        <v>30</v>
      </c>
      <c r="X159" s="2" t="s">
        <v>23</v>
      </c>
    </row>
    <row r="160" spans="1:24">
      <c r="A160" s="3"/>
      <c r="B160" t="s">
        <v>383</v>
      </c>
      <c r="C160" s="23">
        <v>11513</v>
      </c>
      <c r="D160" s="1">
        <v>45370</v>
      </c>
      <c r="E160" s="1" t="str">
        <f>PROPER(TEXT(Tabela1[[#This Row],[Data]],"dddd"))</f>
        <v>Terça-Feira</v>
      </c>
      <c r="F160" s="21">
        <v>0.66666666666666663</v>
      </c>
      <c r="G160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60" t="s">
        <v>384</v>
      </c>
      <c r="I160" s="2" t="s">
        <v>23</v>
      </c>
      <c r="J160" t="s">
        <v>180</v>
      </c>
      <c r="K160" t="s">
        <v>181</v>
      </c>
      <c r="L160" t="s">
        <v>182</v>
      </c>
      <c r="M160" t="s">
        <v>385</v>
      </c>
      <c r="N160" t="s">
        <v>28</v>
      </c>
      <c r="O160" s="2">
        <v>10</v>
      </c>
      <c r="P160" t="s">
        <v>29</v>
      </c>
      <c r="Q160" s="2">
        <v>1</v>
      </c>
      <c r="R160" s="2">
        <v>8</v>
      </c>
      <c r="S160" s="6">
        <f>Tabela1[[#This Row],[Experiência Anos]]+(Tabela1[[#This Row],[Experiência Meses]]/12)</f>
        <v>1.6666666666666665</v>
      </c>
      <c r="T160" s="2" t="s">
        <v>30</v>
      </c>
      <c r="U160" s="2" t="s">
        <v>23</v>
      </c>
      <c r="V160" s="2" t="s">
        <v>23</v>
      </c>
      <c r="W160" s="2" t="s">
        <v>30</v>
      </c>
      <c r="X160" s="2" t="s">
        <v>23</v>
      </c>
    </row>
    <row r="161" spans="1:24">
      <c r="A161" s="3"/>
      <c r="B161" t="s">
        <v>386</v>
      </c>
      <c r="C161" s="23">
        <v>11877</v>
      </c>
      <c r="D161" s="1">
        <v>45370</v>
      </c>
      <c r="E161" s="1" t="str">
        <f>PROPER(TEXT(Tabela1[[#This Row],[Data]],"dddd"))</f>
        <v>Terça-Feira</v>
      </c>
      <c r="F161" s="21">
        <v>0.375</v>
      </c>
      <c r="G161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61" t="s">
        <v>387</v>
      </c>
      <c r="I161" s="2" t="s">
        <v>23</v>
      </c>
      <c r="J161" t="s">
        <v>24</v>
      </c>
      <c r="K161" t="s">
        <v>166</v>
      </c>
      <c r="L161" t="s">
        <v>167</v>
      </c>
      <c r="M161" t="s">
        <v>388</v>
      </c>
      <c r="N161" t="s">
        <v>28</v>
      </c>
      <c r="O161" s="2">
        <v>2</v>
      </c>
      <c r="P161" t="s">
        <v>29</v>
      </c>
      <c r="Q161" s="2">
        <v>0</v>
      </c>
      <c r="R161" s="2">
        <v>7</v>
      </c>
      <c r="S161" s="6">
        <f>Tabela1[[#This Row],[Experiência Anos]]+(Tabela1[[#This Row],[Experiência Meses]]/12)</f>
        <v>0.58333333333333337</v>
      </c>
      <c r="T161" s="2" t="s">
        <v>30</v>
      </c>
      <c r="U161" s="2" t="s">
        <v>23</v>
      </c>
      <c r="V161" s="2" t="s">
        <v>30</v>
      </c>
      <c r="W161" s="2" t="s">
        <v>30</v>
      </c>
      <c r="X161" s="2" t="s">
        <v>30</v>
      </c>
    </row>
    <row r="162" spans="1:24">
      <c r="A162" s="3"/>
      <c r="B162" t="s">
        <v>389</v>
      </c>
      <c r="C162" s="23">
        <v>11086</v>
      </c>
      <c r="D162" s="1">
        <v>45374</v>
      </c>
      <c r="E162" s="1" t="str">
        <f>PROPER(TEXT(Tabela1[[#This Row],[Data]],"dddd"))</f>
        <v>Sábado</v>
      </c>
      <c r="F162" s="21">
        <v>0.39583333333333331</v>
      </c>
      <c r="G162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62" t="s">
        <v>390</v>
      </c>
      <c r="I162" s="2" t="s">
        <v>23</v>
      </c>
      <c r="J162" t="s">
        <v>49</v>
      </c>
      <c r="K162" t="s">
        <v>148</v>
      </c>
      <c r="L162" t="s">
        <v>149</v>
      </c>
      <c r="M162" t="s">
        <v>391</v>
      </c>
      <c r="N162" t="s">
        <v>28</v>
      </c>
      <c r="O162" s="2">
        <v>5</v>
      </c>
      <c r="P162" t="s">
        <v>87</v>
      </c>
      <c r="Q162" s="2">
        <v>2</v>
      </c>
      <c r="R162" s="2">
        <v>10</v>
      </c>
      <c r="S162" s="6">
        <f>Tabela1[[#This Row],[Experiência Anos]]+(Tabela1[[#This Row],[Experiência Meses]]/12)</f>
        <v>2.8333333333333335</v>
      </c>
      <c r="T162" s="2" t="s">
        <v>30</v>
      </c>
      <c r="U162" s="2" t="s">
        <v>23</v>
      </c>
      <c r="V162" s="2" t="s">
        <v>23</v>
      </c>
      <c r="W162" s="2" t="s">
        <v>30</v>
      </c>
      <c r="X162" s="2" t="s">
        <v>23</v>
      </c>
    </row>
    <row r="163" spans="1:24">
      <c r="A163" s="3"/>
      <c r="B163" t="s">
        <v>392</v>
      </c>
      <c r="C163" s="23">
        <v>10080</v>
      </c>
      <c r="D163" s="1">
        <v>45387</v>
      </c>
      <c r="E163" s="1" t="str">
        <f>PROPER(TEXT(Tabela1[[#This Row],[Data]],"dddd"))</f>
        <v>Sexta-Feira</v>
      </c>
      <c r="F163" s="21">
        <v>0.43402777777777779</v>
      </c>
      <c r="G16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63" t="s">
        <v>393</v>
      </c>
      <c r="I163" s="2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s="2">
        <v>7</v>
      </c>
      <c r="P163" t="s">
        <v>139</v>
      </c>
      <c r="Q163" s="2">
        <v>7</v>
      </c>
      <c r="R163" s="2">
        <v>2</v>
      </c>
      <c r="S163" s="6">
        <f>Tabela1[[#This Row],[Experiência Anos]]+(Tabela1[[#This Row],[Experiência Meses]]/12)</f>
        <v>7.166666666666667</v>
      </c>
      <c r="T163" s="2" t="s">
        <v>30</v>
      </c>
      <c r="U163" s="2" t="s">
        <v>30</v>
      </c>
      <c r="V163" s="2" t="s">
        <v>23</v>
      </c>
      <c r="W163" s="2" t="s">
        <v>30</v>
      </c>
      <c r="X163" s="2" t="s">
        <v>23</v>
      </c>
    </row>
    <row r="164" spans="1:24">
      <c r="A164" s="3"/>
      <c r="B164" t="s">
        <v>394</v>
      </c>
      <c r="C164" s="23">
        <v>954</v>
      </c>
      <c r="D164" s="1">
        <v>45391</v>
      </c>
      <c r="E164" s="1" t="str">
        <f>PROPER(TEXT(Tabela1[[#This Row],[Data]],"dddd"))</f>
        <v>Terça-Feira</v>
      </c>
      <c r="F164" s="21">
        <v>0.69444444444444442</v>
      </c>
      <c r="G164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64" t="s">
        <v>208</v>
      </c>
      <c r="I164" s="2" t="s">
        <v>23</v>
      </c>
      <c r="J164" t="s">
        <v>49</v>
      </c>
      <c r="K164" t="s">
        <v>75</v>
      </c>
      <c r="L164" t="s">
        <v>76</v>
      </c>
      <c r="M164" t="s">
        <v>163</v>
      </c>
      <c r="N164" t="s">
        <v>28</v>
      </c>
      <c r="O164" s="2">
        <v>2</v>
      </c>
      <c r="P164" t="s">
        <v>29</v>
      </c>
      <c r="Q164" s="2">
        <v>18</v>
      </c>
      <c r="R164" s="2">
        <v>6</v>
      </c>
      <c r="S164" s="6">
        <f>Tabela1[[#This Row],[Experiência Anos]]+(Tabela1[[#This Row],[Experiência Meses]]/12)</f>
        <v>18.5</v>
      </c>
      <c r="T164" s="2" t="s">
        <v>30</v>
      </c>
      <c r="U164" s="2" t="s">
        <v>23</v>
      </c>
      <c r="V164" s="2" t="s">
        <v>23</v>
      </c>
      <c r="W164" s="2" t="s">
        <v>30</v>
      </c>
      <c r="X164" s="2" t="s">
        <v>30</v>
      </c>
    </row>
    <row r="165" spans="1:24">
      <c r="A165" s="3"/>
      <c r="B165" t="s">
        <v>395</v>
      </c>
      <c r="C165" s="23">
        <v>7892</v>
      </c>
      <c r="D165" s="1">
        <v>45399</v>
      </c>
      <c r="E165" s="1" t="str">
        <f>PROPER(TEXT(Tabela1[[#This Row],[Data]],"dddd"))</f>
        <v>Quarta-Feira</v>
      </c>
      <c r="F165" s="21">
        <v>0.39583333333333331</v>
      </c>
      <c r="G165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65" t="s">
        <v>396</v>
      </c>
      <c r="I165" s="2" t="s">
        <v>23</v>
      </c>
      <c r="J165" t="s">
        <v>49</v>
      </c>
      <c r="K165" t="s">
        <v>50</v>
      </c>
      <c r="L165" t="s">
        <v>51</v>
      </c>
      <c r="M165" t="s">
        <v>56</v>
      </c>
      <c r="N165" t="s">
        <v>28</v>
      </c>
      <c r="O165" s="2">
        <v>15</v>
      </c>
      <c r="P165" t="s">
        <v>29</v>
      </c>
      <c r="Q165" s="2">
        <v>14</v>
      </c>
      <c r="R165" s="2">
        <v>0</v>
      </c>
      <c r="S165" s="6">
        <f>Tabela1[[#This Row],[Experiência Anos]]+(Tabela1[[#This Row],[Experiência Meses]]/12)</f>
        <v>14</v>
      </c>
      <c r="T165" s="2" t="s">
        <v>23</v>
      </c>
      <c r="U165" s="2" t="s">
        <v>23</v>
      </c>
      <c r="V165" s="2" t="s">
        <v>23</v>
      </c>
      <c r="W165" s="2" t="s">
        <v>30</v>
      </c>
      <c r="X165" s="2" t="s">
        <v>30</v>
      </c>
    </row>
    <row r="166" spans="1:24">
      <c r="A166" s="3"/>
      <c r="B166" t="s">
        <v>397</v>
      </c>
      <c r="C166" s="23">
        <v>8680</v>
      </c>
      <c r="D166" s="1">
        <v>45414</v>
      </c>
      <c r="E166" s="1" t="str">
        <f>PROPER(TEXT(Tabela1[[#This Row],[Data]],"dddd"))</f>
        <v>Quinta-Feira</v>
      </c>
      <c r="F166" s="21">
        <v>0.31597222222222221</v>
      </c>
      <c r="G166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66" t="s">
        <v>117</v>
      </c>
      <c r="I166" s="2" t="s">
        <v>23</v>
      </c>
      <c r="J166" t="s">
        <v>49</v>
      </c>
      <c r="K166" t="s">
        <v>50</v>
      </c>
      <c r="L166" t="s">
        <v>51</v>
      </c>
      <c r="M166" t="s">
        <v>56</v>
      </c>
      <c r="N166" t="s">
        <v>28</v>
      </c>
      <c r="O166" s="2">
        <v>15</v>
      </c>
      <c r="P166" t="s">
        <v>87</v>
      </c>
      <c r="Q166" s="2">
        <v>12</v>
      </c>
      <c r="R166" s="2">
        <v>2</v>
      </c>
      <c r="S166" s="6">
        <f>Tabela1[[#This Row],[Experiência Anos]]+(Tabela1[[#This Row],[Experiência Meses]]/12)</f>
        <v>12.166666666666666</v>
      </c>
      <c r="T166" s="2" t="s">
        <v>30</v>
      </c>
      <c r="U166" s="2" t="s">
        <v>23</v>
      </c>
      <c r="V166" s="2" t="s">
        <v>23</v>
      </c>
      <c r="W166" s="2" t="s">
        <v>30</v>
      </c>
      <c r="X166" s="2" t="s">
        <v>30</v>
      </c>
    </row>
    <row r="167" spans="1:24">
      <c r="A167" s="3"/>
      <c r="B167" t="s">
        <v>398</v>
      </c>
      <c r="C167" s="23">
        <v>10961</v>
      </c>
      <c r="D167" s="1">
        <v>45429</v>
      </c>
      <c r="E167" s="1" t="str">
        <f>PROPER(TEXT(Tabela1[[#This Row],[Data]],"dddd"))</f>
        <v>Sexta-Feira</v>
      </c>
      <c r="F167" s="21">
        <v>0.64583333333333337</v>
      </c>
      <c r="G167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67" t="s">
        <v>399</v>
      </c>
      <c r="I167" s="2" t="s">
        <v>23</v>
      </c>
      <c r="J167" t="s">
        <v>24</v>
      </c>
      <c r="K167" t="s">
        <v>166</v>
      </c>
      <c r="L167" t="s">
        <v>167</v>
      </c>
      <c r="M167" t="s">
        <v>56</v>
      </c>
      <c r="N167" t="s">
        <v>28</v>
      </c>
      <c r="O167" s="2">
        <v>15</v>
      </c>
      <c r="P167" t="s">
        <v>87</v>
      </c>
      <c r="Q167" s="2">
        <v>1</v>
      </c>
      <c r="R167" s="2">
        <v>10</v>
      </c>
      <c r="S167" s="6">
        <f>Tabela1[[#This Row],[Experiência Anos]]+(Tabela1[[#This Row],[Experiência Meses]]/12)</f>
        <v>1.8333333333333335</v>
      </c>
      <c r="T167" s="2" t="s">
        <v>30</v>
      </c>
      <c r="U167" s="2" t="s">
        <v>30</v>
      </c>
      <c r="V167" s="2" t="s">
        <v>23</v>
      </c>
      <c r="W167" s="2" t="s">
        <v>30</v>
      </c>
      <c r="X167" s="2" t="s">
        <v>30</v>
      </c>
    </row>
    <row r="168" spans="1:24">
      <c r="A168" s="3"/>
      <c r="B168" t="s">
        <v>400</v>
      </c>
      <c r="C168" s="23">
        <v>10345</v>
      </c>
      <c r="D168" s="1">
        <v>45435</v>
      </c>
      <c r="E168" s="1" t="str">
        <f>PROPER(TEXT(Tabela1[[#This Row],[Data]],"dddd"))</f>
        <v>Quinta-Feira</v>
      </c>
      <c r="F168" s="21">
        <v>0.58333333333333337</v>
      </c>
      <c r="G16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68" t="s">
        <v>401</v>
      </c>
      <c r="I168" s="2" t="s">
        <v>23</v>
      </c>
      <c r="J168" t="s">
        <v>33</v>
      </c>
      <c r="K168" t="s">
        <v>34</v>
      </c>
      <c r="L168" t="s">
        <v>35</v>
      </c>
      <c r="M168" t="s">
        <v>36</v>
      </c>
      <c r="N168" t="s">
        <v>28</v>
      </c>
      <c r="O168" s="2">
        <v>7</v>
      </c>
      <c r="P168" t="s">
        <v>29</v>
      </c>
      <c r="Q168" s="2">
        <v>6</v>
      </c>
      <c r="R168" s="2">
        <v>0</v>
      </c>
      <c r="S168" s="6">
        <f>Tabela1[[#This Row],[Experiência Anos]]+(Tabela1[[#This Row],[Experiência Meses]]/12)</f>
        <v>6</v>
      </c>
      <c r="T168" s="2" t="s">
        <v>23</v>
      </c>
      <c r="U168" s="2" t="s">
        <v>30</v>
      </c>
      <c r="V168" s="2" t="s">
        <v>23</v>
      </c>
      <c r="W168" s="2" t="s">
        <v>30</v>
      </c>
      <c r="X168" s="2" t="s">
        <v>30</v>
      </c>
    </row>
    <row r="169" spans="1:24">
      <c r="A169" s="3"/>
      <c r="B169" t="s">
        <v>402</v>
      </c>
      <c r="C169" s="23">
        <v>12010</v>
      </c>
      <c r="D169" s="1">
        <v>45435</v>
      </c>
      <c r="E169" s="1" t="str">
        <f>PROPER(TEXT(Tabela1[[#This Row],[Data]],"dddd"))</f>
        <v>Quinta-Feira</v>
      </c>
      <c r="F169" s="21">
        <v>0.45833333333333331</v>
      </c>
      <c r="G169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69" t="s">
        <v>403</v>
      </c>
      <c r="I169" s="2" t="s">
        <v>23</v>
      </c>
      <c r="J169" t="s">
        <v>24</v>
      </c>
      <c r="K169" t="s">
        <v>166</v>
      </c>
      <c r="L169" t="s">
        <v>167</v>
      </c>
      <c r="M169" t="s">
        <v>45</v>
      </c>
      <c r="N169" t="s">
        <v>28</v>
      </c>
      <c r="O169" s="2">
        <v>3</v>
      </c>
      <c r="P169" t="s">
        <v>87</v>
      </c>
      <c r="Q169" s="2">
        <v>0</v>
      </c>
      <c r="R169" s="2">
        <v>2</v>
      </c>
      <c r="S169" s="6">
        <f>Tabela1[[#This Row],[Experiência Anos]]+(Tabela1[[#This Row],[Experiência Meses]]/12)</f>
        <v>0.16666666666666666</v>
      </c>
      <c r="T169" s="2" t="s">
        <v>30</v>
      </c>
      <c r="U169" s="2" t="s">
        <v>23</v>
      </c>
      <c r="V169" s="2" t="s">
        <v>23</v>
      </c>
      <c r="W169" s="2" t="s">
        <v>30</v>
      </c>
      <c r="X169" s="2" t="s">
        <v>30</v>
      </c>
    </row>
    <row r="170" spans="1:24">
      <c r="A170" s="3"/>
      <c r="B170" t="s">
        <v>404</v>
      </c>
      <c r="C170" s="23">
        <v>11915</v>
      </c>
      <c r="D170" s="1">
        <v>45453</v>
      </c>
      <c r="E170" s="1" t="str">
        <f>PROPER(TEXT(Tabela1[[#This Row],[Data]],"dddd"))</f>
        <v>Segunda-Feira</v>
      </c>
      <c r="F170" s="21">
        <v>0.24305555555555555</v>
      </c>
      <c r="G170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170" t="s">
        <v>405</v>
      </c>
      <c r="I170" s="2" t="s">
        <v>30</v>
      </c>
      <c r="J170" t="s">
        <v>49</v>
      </c>
      <c r="K170" t="s">
        <v>75</v>
      </c>
      <c r="L170" t="s">
        <v>76</v>
      </c>
      <c r="M170" t="s">
        <v>122</v>
      </c>
      <c r="N170" t="s">
        <v>101</v>
      </c>
      <c r="O170" s="2">
        <v>15</v>
      </c>
      <c r="P170" t="s">
        <v>87</v>
      </c>
      <c r="Q170" s="2">
        <v>0</v>
      </c>
      <c r="R170" s="2">
        <v>8</v>
      </c>
      <c r="S170" s="6">
        <f>Tabela1[[#This Row],[Experiência Anos]]+(Tabela1[[#This Row],[Experiência Meses]]/12)</f>
        <v>0.66666666666666663</v>
      </c>
      <c r="T170" s="2" t="s">
        <v>30</v>
      </c>
      <c r="U170" s="2" t="s">
        <v>23</v>
      </c>
      <c r="V170" s="2" t="s">
        <v>23</v>
      </c>
      <c r="W170" s="2" t="s">
        <v>30</v>
      </c>
      <c r="X170" s="2" t="s">
        <v>30</v>
      </c>
    </row>
    <row r="171" spans="1:24">
      <c r="A171" s="3"/>
      <c r="B171" t="s">
        <v>406</v>
      </c>
      <c r="C171" s="23">
        <v>11927</v>
      </c>
      <c r="D171" s="1">
        <v>45455</v>
      </c>
      <c r="E171" s="1" t="str">
        <f>PROPER(TEXT(Tabela1[[#This Row],[Data]],"dddd"))</f>
        <v>Quarta-Feira</v>
      </c>
      <c r="F171" s="21">
        <v>0.64583333333333337</v>
      </c>
      <c r="G17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71" t="s">
        <v>407</v>
      </c>
      <c r="I171" s="2" t="s">
        <v>30</v>
      </c>
      <c r="J171" t="s">
        <v>49</v>
      </c>
      <c r="K171" t="s">
        <v>408</v>
      </c>
      <c r="L171" t="s">
        <v>76</v>
      </c>
      <c r="M171" t="s">
        <v>579</v>
      </c>
      <c r="N171" t="s">
        <v>101</v>
      </c>
      <c r="O171" s="2">
        <v>15</v>
      </c>
      <c r="P171" t="s">
        <v>87</v>
      </c>
      <c r="Q171" s="2">
        <v>0</v>
      </c>
      <c r="R171" s="2">
        <v>7</v>
      </c>
      <c r="S171" s="6">
        <f>Tabela1[[#This Row],[Experiência Anos]]+(Tabela1[[#This Row],[Experiência Meses]]/12)</f>
        <v>0.58333333333333337</v>
      </c>
      <c r="T171" s="2" t="s">
        <v>30</v>
      </c>
      <c r="U171" s="2" t="s">
        <v>23</v>
      </c>
      <c r="V171" s="2" t="s">
        <v>23</v>
      </c>
      <c r="W171" s="2" t="s">
        <v>30</v>
      </c>
      <c r="X171" s="2" t="s">
        <v>30</v>
      </c>
    </row>
    <row r="172" spans="1:24">
      <c r="A172" s="3"/>
      <c r="B172" t="s">
        <v>409</v>
      </c>
      <c r="C172" s="23">
        <v>11271</v>
      </c>
      <c r="D172" s="1">
        <v>45464</v>
      </c>
      <c r="E172" s="1" t="str">
        <f>PROPER(TEXT(Tabela1[[#This Row],[Data]],"dddd"))</f>
        <v>Sexta-Feira</v>
      </c>
      <c r="F172" s="21">
        <v>0.54166666666666663</v>
      </c>
      <c r="G17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72" t="s">
        <v>410</v>
      </c>
      <c r="I172" s="2" t="s">
        <v>23</v>
      </c>
      <c r="J172" t="s">
        <v>33</v>
      </c>
      <c r="K172" t="s">
        <v>34</v>
      </c>
      <c r="L172" t="s">
        <v>35</v>
      </c>
      <c r="M172" t="s">
        <v>172</v>
      </c>
      <c r="N172" t="s">
        <v>28</v>
      </c>
      <c r="O172" s="2">
        <v>0</v>
      </c>
      <c r="P172" t="s">
        <v>206</v>
      </c>
      <c r="Q172" s="2">
        <v>2</v>
      </c>
      <c r="R172" s="2">
        <v>0</v>
      </c>
      <c r="S172" s="6">
        <f>Tabela1[[#This Row],[Experiência Anos]]+(Tabela1[[#This Row],[Experiência Meses]]/12)</f>
        <v>2</v>
      </c>
      <c r="T172" s="2" t="s">
        <v>23</v>
      </c>
      <c r="U172" s="2" t="s">
        <v>23</v>
      </c>
      <c r="V172" s="2" t="s">
        <v>23</v>
      </c>
      <c r="W172" s="2" t="s">
        <v>30</v>
      </c>
      <c r="X172" s="2" t="s">
        <v>23</v>
      </c>
    </row>
    <row r="173" spans="1:24">
      <c r="A173" s="3"/>
      <c r="B173" t="s">
        <v>411</v>
      </c>
      <c r="C173" s="23">
        <v>11448</v>
      </c>
      <c r="D173" s="1">
        <v>45467</v>
      </c>
      <c r="E173" s="1" t="str">
        <f>PROPER(TEXT(Tabela1[[#This Row],[Data]],"dddd"))</f>
        <v>Segunda-Feira</v>
      </c>
      <c r="F173" s="21">
        <v>0.48958333333333331</v>
      </c>
      <c r="G17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73" t="s">
        <v>412</v>
      </c>
      <c r="I173" s="2" t="s">
        <v>23</v>
      </c>
      <c r="J173" t="s">
        <v>49</v>
      </c>
      <c r="K173" t="s">
        <v>50</v>
      </c>
      <c r="L173" t="s">
        <v>51</v>
      </c>
      <c r="M173" t="s">
        <v>56</v>
      </c>
      <c r="N173" t="s">
        <v>28</v>
      </c>
      <c r="O173" s="2">
        <v>5</v>
      </c>
      <c r="P173" t="s">
        <v>29</v>
      </c>
      <c r="Q173" s="2">
        <v>2</v>
      </c>
      <c r="R173" s="2">
        <v>0</v>
      </c>
      <c r="S173" s="6">
        <f>Tabela1[[#This Row],[Experiência Anos]]+(Tabela1[[#This Row],[Experiência Meses]]/12)</f>
        <v>2</v>
      </c>
      <c r="T173" s="2" t="s">
        <v>30</v>
      </c>
      <c r="U173" s="2" t="s">
        <v>23</v>
      </c>
      <c r="V173" s="2" t="s">
        <v>23</v>
      </c>
      <c r="W173" s="2" t="s">
        <v>30</v>
      </c>
      <c r="X173" s="2" t="s">
        <v>30</v>
      </c>
    </row>
    <row r="174" spans="1:24">
      <c r="A174" s="3"/>
      <c r="B174" t="s">
        <v>413</v>
      </c>
      <c r="C174" s="23">
        <v>10116</v>
      </c>
      <c r="D174" s="1">
        <v>45468</v>
      </c>
      <c r="E174" s="1" t="str">
        <f>PROPER(TEXT(Tabela1[[#This Row],[Data]],"dddd"))</f>
        <v>Terça-Feira</v>
      </c>
      <c r="F174" s="21">
        <v>0.46041666666666664</v>
      </c>
      <c r="G174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74" t="s">
        <v>414</v>
      </c>
      <c r="I174" s="2" t="s">
        <v>23</v>
      </c>
      <c r="J174" t="s">
        <v>39</v>
      </c>
      <c r="K174" t="s">
        <v>40</v>
      </c>
      <c r="L174" t="s">
        <v>41</v>
      </c>
      <c r="M174" t="s">
        <v>314</v>
      </c>
      <c r="N174" t="s">
        <v>28</v>
      </c>
      <c r="O174" s="2">
        <v>7</v>
      </c>
      <c r="P174" t="s">
        <v>29</v>
      </c>
      <c r="Q174" s="2">
        <v>5</v>
      </c>
      <c r="R174" s="2">
        <v>0</v>
      </c>
      <c r="S174" s="6">
        <f>Tabela1[[#This Row],[Experiência Anos]]+(Tabela1[[#This Row],[Experiência Meses]]/12)</f>
        <v>5</v>
      </c>
      <c r="T174" s="2" t="s">
        <v>23</v>
      </c>
      <c r="U174" s="2" t="s">
        <v>30</v>
      </c>
      <c r="V174" s="2" t="s">
        <v>23</v>
      </c>
      <c r="W174" s="2" t="s">
        <v>30</v>
      </c>
      <c r="X174" s="2" t="s">
        <v>23</v>
      </c>
    </row>
    <row r="175" spans="1:24">
      <c r="A175" s="3"/>
      <c r="B175" t="s">
        <v>415</v>
      </c>
      <c r="C175" s="23">
        <v>6606</v>
      </c>
      <c r="D175" s="1">
        <v>45474</v>
      </c>
      <c r="E175" s="1" t="str">
        <f>PROPER(TEXT(Tabela1[[#This Row],[Data]],"dddd"))</f>
        <v>Segunda-Feira</v>
      </c>
      <c r="F175" s="21">
        <v>0.85416666666666663</v>
      </c>
      <c r="G175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175" t="s">
        <v>416</v>
      </c>
      <c r="I175" s="2" t="s">
        <v>23</v>
      </c>
      <c r="J175" t="s">
        <v>49</v>
      </c>
      <c r="K175" t="s">
        <v>75</v>
      </c>
      <c r="L175" t="s">
        <v>76</v>
      </c>
      <c r="M175" t="s">
        <v>163</v>
      </c>
      <c r="N175" t="s">
        <v>28</v>
      </c>
      <c r="O175" s="2">
        <v>7</v>
      </c>
      <c r="P175" t="s">
        <v>87</v>
      </c>
      <c r="Q175" s="2">
        <v>16</v>
      </c>
      <c r="R175" s="2">
        <v>2</v>
      </c>
      <c r="S175" s="6">
        <f>Tabela1[[#This Row],[Experiência Anos]]+(Tabela1[[#This Row],[Experiência Meses]]/12)</f>
        <v>16.166666666666668</v>
      </c>
      <c r="T175" s="2" t="s">
        <v>30</v>
      </c>
      <c r="U175" s="2" t="s">
        <v>23</v>
      </c>
      <c r="V175" s="2" t="s">
        <v>23</v>
      </c>
      <c r="W175" s="2" t="s">
        <v>30</v>
      </c>
      <c r="X175" s="2" t="s">
        <v>30</v>
      </c>
    </row>
    <row r="176" spans="1:24">
      <c r="A176" s="3"/>
      <c r="B176" t="s">
        <v>417</v>
      </c>
      <c r="C176" s="23">
        <v>11939</v>
      </c>
      <c r="D176" s="1">
        <v>45478</v>
      </c>
      <c r="E176" s="1" t="str">
        <f>PROPER(TEXT(Tabela1[[#This Row],[Data]],"dddd"))</f>
        <v>Sexta-Feira</v>
      </c>
      <c r="F176" s="21">
        <v>0.52430555555555558</v>
      </c>
      <c r="G17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76" t="s">
        <v>418</v>
      </c>
      <c r="I176" s="2" t="s">
        <v>23</v>
      </c>
      <c r="J176" t="s">
        <v>24</v>
      </c>
      <c r="K176" t="s">
        <v>166</v>
      </c>
      <c r="L176" t="s">
        <v>167</v>
      </c>
      <c r="M176" t="s">
        <v>168</v>
      </c>
      <c r="N176" t="s">
        <v>28</v>
      </c>
      <c r="O176" s="2">
        <v>14</v>
      </c>
      <c r="P176" t="s">
        <v>87</v>
      </c>
      <c r="Q176" s="2">
        <v>0</v>
      </c>
      <c r="R176" s="2">
        <v>7</v>
      </c>
      <c r="S176" s="6">
        <f>Tabela1[[#This Row],[Experiência Anos]]+(Tabela1[[#This Row],[Experiência Meses]]/12)</f>
        <v>0.58333333333333337</v>
      </c>
      <c r="T176" s="2" t="s">
        <v>30</v>
      </c>
      <c r="U176" s="2" t="s">
        <v>23</v>
      </c>
      <c r="V176" s="2" t="s">
        <v>23</v>
      </c>
      <c r="W176" s="2" t="s">
        <v>30</v>
      </c>
      <c r="X176" s="2" t="s">
        <v>30</v>
      </c>
    </row>
    <row r="177" spans="1:24">
      <c r="A177" s="3"/>
      <c r="B177" t="s">
        <v>419</v>
      </c>
      <c r="C177" s="23">
        <v>11909</v>
      </c>
      <c r="D177" s="1">
        <v>45481</v>
      </c>
      <c r="E177" s="1" t="str">
        <f>PROPER(TEXT(Tabela1[[#This Row],[Data]],"dddd"))</f>
        <v>Segunda-Feira</v>
      </c>
      <c r="F177" s="21">
        <v>0.25624999999999998</v>
      </c>
      <c r="G17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77" t="s">
        <v>420</v>
      </c>
      <c r="I177" s="2" t="s">
        <v>23</v>
      </c>
      <c r="J177" t="s">
        <v>49</v>
      </c>
      <c r="K177" t="s">
        <v>50</v>
      </c>
      <c r="L177" t="s">
        <v>51</v>
      </c>
      <c r="M177" t="s">
        <v>45</v>
      </c>
      <c r="N177" t="s">
        <v>28</v>
      </c>
      <c r="O177" s="2">
        <v>1</v>
      </c>
      <c r="P177" t="s">
        <v>46</v>
      </c>
      <c r="Q177" s="2">
        <v>0</v>
      </c>
      <c r="R177" s="2">
        <v>9</v>
      </c>
      <c r="S177" s="6">
        <f>Tabela1[[#This Row],[Experiência Anos]]+(Tabela1[[#This Row],[Experiência Meses]]/12)</f>
        <v>0.75</v>
      </c>
      <c r="T177" s="2" t="s">
        <v>30</v>
      </c>
      <c r="U177" s="2" t="s">
        <v>23</v>
      </c>
      <c r="V177" s="2" t="s">
        <v>23</v>
      </c>
      <c r="W177" s="2" t="s">
        <v>30</v>
      </c>
      <c r="X177" s="2" t="s">
        <v>30</v>
      </c>
    </row>
    <row r="178" spans="1:24">
      <c r="A178" s="3"/>
      <c r="B178" t="s">
        <v>421</v>
      </c>
      <c r="C178" s="23">
        <v>11041</v>
      </c>
      <c r="D178" s="1">
        <v>45481</v>
      </c>
      <c r="E178" s="1" t="str">
        <f>PROPER(TEXT(Tabela1[[#This Row],[Data]],"dddd"))</f>
        <v>Segunda-Feira</v>
      </c>
      <c r="F178" s="21">
        <v>0.27430555555555558</v>
      </c>
      <c r="G178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78" t="s">
        <v>422</v>
      </c>
      <c r="I178" s="2" t="s">
        <v>23</v>
      </c>
      <c r="J178" t="s">
        <v>49</v>
      </c>
      <c r="K178" t="s">
        <v>50</v>
      </c>
      <c r="L178" t="s">
        <v>51</v>
      </c>
      <c r="M178" t="s">
        <v>56</v>
      </c>
      <c r="N178" t="s">
        <v>28</v>
      </c>
      <c r="O178" s="2">
        <v>2</v>
      </c>
      <c r="P178" t="s">
        <v>46</v>
      </c>
      <c r="Q178" s="2">
        <v>3</v>
      </c>
      <c r="R178" s="2">
        <v>3</v>
      </c>
      <c r="S178" s="6">
        <f>Tabela1[[#This Row],[Experiência Anos]]+(Tabela1[[#This Row],[Experiência Meses]]/12)</f>
        <v>3.25</v>
      </c>
      <c r="T178" s="2" t="s">
        <v>30</v>
      </c>
      <c r="U178" s="2" t="s">
        <v>23</v>
      </c>
      <c r="V178" s="2" t="s">
        <v>23</v>
      </c>
      <c r="W178" s="2" t="s">
        <v>30</v>
      </c>
      <c r="X178" s="2" t="s">
        <v>30</v>
      </c>
    </row>
    <row r="179" spans="1:24">
      <c r="A179" s="3"/>
      <c r="B179" t="s">
        <v>423</v>
      </c>
      <c r="C179" s="23">
        <v>12029</v>
      </c>
      <c r="D179" s="1">
        <v>45492</v>
      </c>
      <c r="E179" s="1" t="str">
        <f>PROPER(TEXT(Tabela1[[#This Row],[Data]],"dddd"))</f>
        <v>Sexta-Feira</v>
      </c>
      <c r="F179" s="21">
        <v>0.59861111111111109</v>
      </c>
      <c r="G179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79" t="s">
        <v>424</v>
      </c>
      <c r="I179" s="2" t="s">
        <v>23</v>
      </c>
      <c r="J179" t="s">
        <v>49</v>
      </c>
      <c r="K179" t="s">
        <v>50</v>
      </c>
      <c r="L179" t="s">
        <v>51</v>
      </c>
      <c r="M179" t="s">
        <v>27</v>
      </c>
      <c r="N179" t="s">
        <v>28</v>
      </c>
      <c r="O179" s="2">
        <v>1</v>
      </c>
      <c r="P179" t="s">
        <v>87</v>
      </c>
      <c r="Q179" s="2">
        <v>0</v>
      </c>
      <c r="R179" s="2">
        <v>3</v>
      </c>
      <c r="S179" s="6">
        <f>Tabela1[[#This Row],[Experiência Anos]]+(Tabela1[[#This Row],[Experiência Meses]]/12)</f>
        <v>0.25</v>
      </c>
      <c r="T179" s="2" t="s">
        <v>30</v>
      </c>
      <c r="U179" s="2" t="s">
        <v>23</v>
      </c>
      <c r="V179" s="2" t="s">
        <v>23</v>
      </c>
      <c r="W179" s="2" t="s">
        <v>30</v>
      </c>
      <c r="X179" s="2" t="s">
        <v>30</v>
      </c>
    </row>
    <row r="180" spans="1:24">
      <c r="A180" s="3"/>
      <c r="B180" t="s">
        <v>425</v>
      </c>
      <c r="C180" s="23">
        <v>11849</v>
      </c>
      <c r="D180" s="1">
        <v>45492</v>
      </c>
      <c r="E180" s="1" t="str">
        <f>PROPER(TEXT(Tabela1[[#This Row],[Data]],"dddd"))</f>
        <v>Sexta-Feira</v>
      </c>
      <c r="F180" s="21">
        <v>0.61041666666666672</v>
      </c>
      <c r="G180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80" t="s">
        <v>337</v>
      </c>
      <c r="I180" s="2" t="s">
        <v>23</v>
      </c>
      <c r="J180" t="s">
        <v>24</v>
      </c>
      <c r="K180" t="s">
        <v>25</v>
      </c>
      <c r="L180" t="s">
        <v>26</v>
      </c>
      <c r="M180" t="s">
        <v>45</v>
      </c>
      <c r="N180" t="s">
        <v>28</v>
      </c>
      <c r="O180" s="2">
        <v>3</v>
      </c>
      <c r="P180" t="s">
        <v>206</v>
      </c>
      <c r="Q180" s="2">
        <v>1</v>
      </c>
      <c r="R180" s="2">
        <v>3</v>
      </c>
      <c r="S180" s="6">
        <f>Tabela1[[#This Row],[Experiência Anos]]+(Tabela1[[#This Row],[Experiência Meses]]/12)</f>
        <v>1.25</v>
      </c>
      <c r="T180" s="2" t="s">
        <v>30</v>
      </c>
      <c r="U180" s="2" t="s">
        <v>23</v>
      </c>
      <c r="V180" s="2" t="s">
        <v>23</v>
      </c>
      <c r="W180" s="2" t="s">
        <v>30</v>
      </c>
      <c r="X180" s="2" t="s">
        <v>30</v>
      </c>
    </row>
    <row r="181" spans="1:24">
      <c r="A181" s="3"/>
      <c r="B181" t="s">
        <v>426</v>
      </c>
      <c r="C181" s="23">
        <v>11531</v>
      </c>
      <c r="D181" s="1">
        <v>45497</v>
      </c>
      <c r="E181" s="1" t="str">
        <f>PROPER(TEXT(Tabela1[[#This Row],[Data]],"dddd"))</f>
        <v>Quarta-Feira</v>
      </c>
      <c r="F181" s="21">
        <v>0.38541666666666669</v>
      </c>
      <c r="G181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81" t="s">
        <v>283</v>
      </c>
      <c r="I181" s="2" t="s">
        <v>23</v>
      </c>
      <c r="J181" t="s">
        <v>49</v>
      </c>
      <c r="K181" t="s">
        <v>75</v>
      </c>
      <c r="L181" t="s">
        <v>76</v>
      </c>
      <c r="M181" t="s">
        <v>388</v>
      </c>
      <c r="N181" t="s">
        <v>28</v>
      </c>
      <c r="O181" s="2">
        <v>14</v>
      </c>
      <c r="P181" t="s">
        <v>46</v>
      </c>
      <c r="Q181" s="2">
        <v>1</v>
      </c>
      <c r="R181" s="2">
        <v>11</v>
      </c>
      <c r="S181" s="6">
        <f>Tabela1[[#This Row],[Experiência Anos]]+(Tabela1[[#This Row],[Experiência Meses]]/12)</f>
        <v>1.9166666666666665</v>
      </c>
      <c r="T181" s="2" t="s">
        <v>30</v>
      </c>
      <c r="U181" s="2" t="s">
        <v>23</v>
      </c>
      <c r="V181" s="2" t="s">
        <v>23</v>
      </c>
      <c r="W181" s="2" t="s">
        <v>30</v>
      </c>
      <c r="X181" s="2" t="s">
        <v>30</v>
      </c>
    </row>
    <row r="182" spans="1:24">
      <c r="A182" s="3"/>
      <c r="B182" t="s">
        <v>427</v>
      </c>
      <c r="C182" s="23">
        <v>11789</v>
      </c>
      <c r="D182" s="1">
        <v>45498</v>
      </c>
      <c r="E182" s="1" t="str">
        <f>PROPER(TEXT(Tabela1[[#This Row],[Data]],"dddd"))</f>
        <v>Quinta-Feira</v>
      </c>
      <c r="F182" s="21">
        <v>0.82291666666666663</v>
      </c>
      <c r="G182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182" t="s">
        <v>428</v>
      </c>
      <c r="I182" s="2" t="s">
        <v>23</v>
      </c>
      <c r="J182" t="s">
        <v>49</v>
      </c>
      <c r="K182" t="s">
        <v>50</v>
      </c>
      <c r="L182" t="s">
        <v>51</v>
      </c>
      <c r="M182" t="s">
        <v>177</v>
      </c>
      <c r="N182" t="s">
        <v>28</v>
      </c>
      <c r="O182" s="2">
        <v>0</v>
      </c>
      <c r="P182" t="s">
        <v>206</v>
      </c>
      <c r="Q182" s="2">
        <v>1</v>
      </c>
      <c r="R182" s="2">
        <v>3</v>
      </c>
      <c r="S182" s="6">
        <f>Tabela1[[#This Row],[Experiência Anos]]+(Tabela1[[#This Row],[Experiência Meses]]/12)</f>
        <v>1.25</v>
      </c>
      <c r="T182" s="2" t="s">
        <v>30</v>
      </c>
      <c r="U182" s="2" t="s">
        <v>23</v>
      </c>
      <c r="V182" s="2" t="s">
        <v>23</v>
      </c>
      <c r="W182" s="2" t="s">
        <v>30</v>
      </c>
      <c r="X182" s="2" t="s">
        <v>30</v>
      </c>
    </row>
    <row r="183" spans="1:24">
      <c r="A183" s="3"/>
      <c r="B183" t="s">
        <v>429</v>
      </c>
      <c r="C183" s="23">
        <v>11901</v>
      </c>
      <c r="D183" s="1">
        <v>45511</v>
      </c>
      <c r="E183" s="1" t="str">
        <f>PROPER(TEXT(Tabela1[[#This Row],[Data]],"dddd"))</f>
        <v>Quarta-Feira</v>
      </c>
      <c r="F183" s="21">
        <v>0.5625</v>
      </c>
      <c r="G183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83" t="s">
        <v>430</v>
      </c>
      <c r="I183" s="2" t="s">
        <v>23</v>
      </c>
      <c r="J183" t="s">
        <v>33</v>
      </c>
      <c r="K183" t="s">
        <v>34</v>
      </c>
      <c r="L183" t="s">
        <v>35</v>
      </c>
      <c r="M183" t="s">
        <v>45</v>
      </c>
      <c r="N183" t="s">
        <v>28</v>
      </c>
      <c r="O183" s="2">
        <v>3</v>
      </c>
      <c r="P183" t="s">
        <v>84</v>
      </c>
      <c r="Q183" s="2">
        <v>0</v>
      </c>
      <c r="R183" s="2">
        <v>11</v>
      </c>
      <c r="S183" s="6">
        <f>Tabela1[[#This Row],[Experiência Anos]]+(Tabela1[[#This Row],[Experiência Meses]]/12)</f>
        <v>0.91666666666666663</v>
      </c>
      <c r="T183" s="2" t="s">
        <v>23</v>
      </c>
      <c r="U183" s="2" t="s">
        <v>30</v>
      </c>
      <c r="V183" s="2" t="s">
        <v>23</v>
      </c>
      <c r="W183" s="2" t="s">
        <v>30</v>
      </c>
      <c r="X183" s="2" t="s">
        <v>30</v>
      </c>
    </row>
    <row r="184" spans="1:24">
      <c r="A184" s="3"/>
      <c r="B184" t="s">
        <v>431</v>
      </c>
      <c r="C184" s="23">
        <v>11877</v>
      </c>
      <c r="D184" s="1">
        <v>45511</v>
      </c>
      <c r="E184" s="1" t="str">
        <f>PROPER(TEXT(Tabela1[[#This Row],[Data]],"dddd"))</f>
        <v>Quarta-Feira</v>
      </c>
      <c r="F184" s="21">
        <v>0.5625</v>
      </c>
      <c r="G184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84" t="s">
        <v>387</v>
      </c>
      <c r="I184" s="2" t="s">
        <v>23</v>
      </c>
      <c r="J184" t="s">
        <v>24</v>
      </c>
      <c r="K184" t="s">
        <v>166</v>
      </c>
      <c r="L184" t="s">
        <v>167</v>
      </c>
      <c r="M184" t="s">
        <v>77</v>
      </c>
      <c r="N184" t="s">
        <v>28</v>
      </c>
      <c r="O184" s="2">
        <v>3</v>
      </c>
      <c r="P184" t="s">
        <v>87</v>
      </c>
      <c r="Q184" s="2">
        <v>1</v>
      </c>
      <c r="R184" s="2">
        <v>0</v>
      </c>
      <c r="S184" s="6">
        <f>Tabela1[[#This Row],[Experiência Anos]]+(Tabela1[[#This Row],[Experiência Meses]]/12)</f>
        <v>1</v>
      </c>
      <c r="T184" s="2" t="s">
        <v>30</v>
      </c>
      <c r="U184" s="2" t="s">
        <v>23</v>
      </c>
      <c r="V184" s="2" t="s">
        <v>23</v>
      </c>
      <c r="W184" s="2" t="s">
        <v>30</v>
      </c>
      <c r="X184" s="2" t="s">
        <v>30</v>
      </c>
    </row>
    <row r="185" spans="1:24">
      <c r="A185" s="3"/>
      <c r="B185" t="s">
        <v>432</v>
      </c>
      <c r="C185" s="23">
        <v>11978</v>
      </c>
      <c r="D185" s="1">
        <v>45525</v>
      </c>
      <c r="E185" s="1" t="str">
        <f>PROPER(TEXT(Tabela1[[#This Row],[Data]],"dddd"))</f>
        <v>Quarta-Feira</v>
      </c>
      <c r="F185" s="21">
        <v>0.4201388888888889</v>
      </c>
      <c r="G185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85" t="s">
        <v>433</v>
      </c>
      <c r="I185" s="2" t="s">
        <v>23</v>
      </c>
      <c r="J185" t="s">
        <v>24</v>
      </c>
      <c r="K185" t="s">
        <v>166</v>
      </c>
      <c r="L185" t="s">
        <v>167</v>
      </c>
      <c r="M185" t="s">
        <v>168</v>
      </c>
      <c r="N185" t="s">
        <v>101</v>
      </c>
      <c r="O185" s="2">
        <v>3</v>
      </c>
      <c r="P185" t="s">
        <v>57</v>
      </c>
      <c r="Q185" s="2">
        <v>0</v>
      </c>
      <c r="R185" s="2">
        <v>6</v>
      </c>
      <c r="S185" s="6">
        <f>Tabela1[[#This Row],[Experiência Anos]]+(Tabela1[[#This Row],[Experiência Meses]]/12)</f>
        <v>0.5</v>
      </c>
      <c r="T185" s="2" t="s">
        <v>23</v>
      </c>
      <c r="U185" s="2" t="s">
        <v>23</v>
      </c>
      <c r="V185" s="2" t="s">
        <v>23</v>
      </c>
      <c r="W185" s="2" t="s">
        <v>30</v>
      </c>
      <c r="X185" s="2" t="s">
        <v>30</v>
      </c>
    </row>
    <row r="186" spans="1:24">
      <c r="A186" s="3"/>
      <c r="B186" t="s">
        <v>434</v>
      </c>
      <c r="C186" s="23">
        <v>11251</v>
      </c>
      <c r="D186" s="1">
        <v>45560</v>
      </c>
      <c r="E186" s="1" t="str">
        <f>PROPER(TEXT(Tabela1[[#This Row],[Data]],"dddd"))</f>
        <v>Quarta-Feira</v>
      </c>
      <c r="F186" s="21">
        <v>0.6430555555555556</v>
      </c>
      <c r="G18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86" t="s">
        <v>435</v>
      </c>
      <c r="I186" s="2" t="s">
        <v>23</v>
      </c>
      <c r="J186" t="s">
        <v>33</v>
      </c>
      <c r="K186" t="s">
        <v>34</v>
      </c>
      <c r="L186" t="s">
        <v>35</v>
      </c>
      <c r="M186" t="s">
        <v>314</v>
      </c>
      <c r="N186" t="s">
        <v>28</v>
      </c>
      <c r="O186" s="2">
        <v>2</v>
      </c>
      <c r="P186" t="s">
        <v>46</v>
      </c>
      <c r="Q186" s="2">
        <v>3</v>
      </c>
      <c r="R186" s="2">
        <v>0</v>
      </c>
      <c r="S186" s="6">
        <f>Tabela1[[#This Row],[Experiência Anos]]+(Tabela1[[#This Row],[Experiência Meses]]/12)</f>
        <v>3</v>
      </c>
      <c r="T186" s="2" t="s">
        <v>30</v>
      </c>
      <c r="U186" s="2" t="s">
        <v>23</v>
      </c>
      <c r="V186" s="2" t="s">
        <v>23</v>
      </c>
      <c r="W186" s="2" t="s">
        <v>30</v>
      </c>
      <c r="X186" s="2" t="s">
        <v>30</v>
      </c>
    </row>
    <row r="187" spans="1:24">
      <c r="A187" s="3"/>
      <c r="B187" t="s">
        <v>436</v>
      </c>
      <c r="C187" s="23">
        <v>10297</v>
      </c>
      <c r="D187" s="1">
        <v>45560</v>
      </c>
      <c r="E187" s="1" t="str">
        <f>PROPER(TEXT(Tabela1[[#This Row],[Data]],"dddd"))</f>
        <v>Quarta-Feira</v>
      </c>
      <c r="F187" s="21">
        <v>0.41666666666666669</v>
      </c>
      <c r="G18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87" t="s">
        <v>437</v>
      </c>
      <c r="I187" s="2" t="s">
        <v>23</v>
      </c>
      <c r="J187" t="s">
        <v>24</v>
      </c>
      <c r="K187" t="s">
        <v>25</v>
      </c>
      <c r="L187" t="s">
        <v>26</v>
      </c>
      <c r="M187" t="s">
        <v>56</v>
      </c>
      <c r="N187" t="s">
        <v>28</v>
      </c>
      <c r="O187" s="2">
        <v>3</v>
      </c>
      <c r="P187" t="s">
        <v>29</v>
      </c>
      <c r="Q187" s="2">
        <v>6</v>
      </c>
      <c r="R187" s="2">
        <v>8</v>
      </c>
      <c r="S187" s="6">
        <f>Tabela1[[#This Row],[Experiência Anos]]+(Tabela1[[#This Row],[Experiência Meses]]/12)</f>
        <v>6.666666666666667</v>
      </c>
      <c r="T187" s="2" t="s">
        <v>30</v>
      </c>
      <c r="U187" s="2" t="s">
        <v>23</v>
      </c>
      <c r="V187" s="2" t="s">
        <v>23</v>
      </c>
      <c r="W187" s="2" t="s">
        <v>30</v>
      </c>
      <c r="X187" s="2" t="s">
        <v>30</v>
      </c>
    </row>
    <row r="188" spans="1:24">
      <c r="A188" s="3"/>
      <c r="B188" t="s">
        <v>438</v>
      </c>
      <c r="C188" s="23" t="s">
        <v>305</v>
      </c>
      <c r="D188" s="1">
        <v>45565</v>
      </c>
      <c r="E188" s="1" t="str">
        <f>PROPER(TEXT(Tabela1[[#This Row],[Data]],"dddd"))</f>
        <v>Segunda-Feira</v>
      </c>
      <c r="F188" s="21">
        <v>0</v>
      </c>
      <c r="G188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188" t="s">
        <v>439</v>
      </c>
      <c r="I188" s="2" t="s">
        <v>23</v>
      </c>
      <c r="J188" t="s">
        <v>39</v>
      </c>
      <c r="K188" t="s">
        <v>40</v>
      </c>
      <c r="L188" t="s">
        <v>41</v>
      </c>
      <c r="M188" t="s">
        <v>45</v>
      </c>
      <c r="N188" t="s">
        <v>28</v>
      </c>
      <c r="O188" s="2">
        <v>3</v>
      </c>
      <c r="P188" t="s">
        <v>29</v>
      </c>
      <c r="Q188" s="2">
        <v>0</v>
      </c>
      <c r="R188" s="2">
        <v>1</v>
      </c>
      <c r="S188" s="6">
        <f>Tabela1[[#This Row],[Experiência Anos]]+(Tabela1[[#This Row],[Experiência Meses]]/12)</f>
        <v>8.3333333333333329E-2</v>
      </c>
      <c r="T188" s="2" t="s">
        <v>30</v>
      </c>
      <c r="U188" s="2" t="s">
        <v>23</v>
      </c>
      <c r="V188" s="2" t="s">
        <v>23</v>
      </c>
      <c r="W188" s="2" t="s">
        <v>30</v>
      </c>
      <c r="X188" s="2" t="s">
        <v>30</v>
      </c>
    </row>
    <row r="189" spans="1:24">
      <c r="A189" s="3"/>
      <c r="B189" t="s">
        <v>440</v>
      </c>
      <c r="C189" s="23">
        <v>6570</v>
      </c>
      <c r="D189" s="1">
        <v>45566</v>
      </c>
      <c r="E189" s="1" t="str">
        <f>PROPER(TEXT(Tabela1[[#This Row],[Data]],"dddd"))</f>
        <v>Terça-Feira</v>
      </c>
      <c r="F189" s="21">
        <v>0.46944444444444444</v>
      </c>
      <c r="G189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89" t="s">
        <v>441</v>
      </c>
      <c r="I189" s="2" t="s">
        <v>23</v>
      </c>
      <c r="J189" t="s">
        <v>49</v>
      </c>
      <c r="K189" t="s">
        <v>50</v>
      </c>
      <c r="L189" t="s">
        <v>51</v>
      </c>
      <c r="M189" t="s">
        <v>27</v>
      </c>
      <c r="N189" t="s">
        <v>28</v>
      </c>
      <c r="O189" s="2">
        <v>12</v>
      </c>
      <c r="P189" t="s">
        <v>46</v>
      </c>
      <c r="Q189" s="2">
        <v>16</v>
      </c>
      <c r="R189" s="2">
        <v>6</v>
      </c>
      <c r="S189" s="6">
        <f>Tabela1[[#This Row],[Experiência Anos]]+(Tabela1[[#This Row],[Experiência Meses]]/12)</f>
        <v>16.5</v>
      </c>
      <c r="T189" s="2" t="s">
        <v>30</v>
      </c>
      <c r="U189" s="2" t="s">
        <v>23</v>
      </c>
      <c r="V189" s="2" t="s">
        <v>30</v>
      </c>
      <c r="W189" s="2" t="s">
        <v>23</v>
      </c>
      <c r="X189" s="2" t="s">
        <v>30</v>
      </c>
    </row>
    <row r="190" spans="1:24">
      <c r="A190" s="3"/>
      <c r="B190" t="s">
        <v>442</v>
      </c>
      <c r="C190" s="23">
        <v>9543</v>
      </c>
      <c r="D190" s="1">
        <v>45582</v>
      </c>
      <c r="E190" s="1" t="str">
        <f>PROPER(TEXT(Tabela1[[#This Row],[Data]],"dddd"))</f>
        <v>Quinta-Feira</v>
      </c>
      <c r="F190" s="21">
        <v>0.375</v>
      </c>
      <c r="G190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90" t="s">
        <v>443</v>
      </c>
      <c r="I190" s="2" t="s">
        <v>23</v>
      </c>
      <c r="J190" t="s">
        <v>49</v>
      </c>
      <c r="K190" t="s">
        <v>50</v>
      </c>
      <c r="L190" t="s">
        <v>51</v>
      </c>
      <c r="M190" t="s">
        <v>56</v>
      </c>
      <c r="N190" t="s">
        <v>28</v>
      </c>
      <c r="O190" s="2">
        <v>2</v>
      </c>
      <c r="P190" t="s">
        <v>29</v>
      </c>
      <c r="Q190" s="2">
        <v>10</v>
      </c>
      <c r="R190" s="2">
        <v>0</v>
      </c>
      <c r="S190" s="6">
        <f>Tabela1[[#This Row],[Experiência Anos]]+(Tabela1[[#This Row],[Experiência Meses]]/12)</f>
        <v>10</v>
      </c>
      <c r="T190" s="2" t="s">
        <v>30</v>
      </c>
      <c r="U190" s="2" t="s">
        <v>23</v>
      </c>
      <c r="V190" s="2" t="s">
        <v>23</v>
      </c>
      <c r="W190" s="2" t="s">
        <v>30</v>
      </c>
      <c r="X190" s="2" t="s">
        <v>30</v>
      </c>
    </row>
    <row r="191" spans="1:24">
      <c r="A191" s="3"/>
      <c r="B191" t="s">
        <v>444</v>
      </c>
      <c r="C191" s="23">
        <v>11039</v>
      </c>
      <c r="D191" s="1">
        <v>45583</v>
      </c>
      <c r="E191" s="1" t="str">
        <f>PROPER(TEXT(Tabela1[[#This Row],[Data]],"dddd"))</f>
        <v>Sexta-Feira</v>
      </c>
      <c r="F191" s="21">
        <v>0.41666666666666669</v>
      </c>
      <c r="G191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91" t="s">
        <v>445</v>
      </c>
      <c r="I191" s="2" t="s">
        <v>23</v>
      </c>
      <c r="J191" t="s">
        <v>49</v>
      </c>
      <c r="K191" t="s">
        <v>50</v>
      </c>
      <c r="L191" t="s">
        <v>51</v>
      </c>
      <c r="M191" t="s">
        <v>56</v>
      </c>
      <c r="N191" t="s">
        <v>28</v>
      </c>
      <c r="O191" s="2">
        <v>7</v>
      </c>
      <c r="P191" t="s">
        <v>29</v>
      </c>
      <c r="Q191" s="2">
        <v>4</v>
      </c>
      <c r="R191" s="2">
        <v>0</v>
      </c>
      <c r="S191" s="6">
        <f>Tabela1[[#This Row],[Experiência Anos]]+(Tabela1[[#This Row],[Experiência Meses]]/12)</f>
        <v>4</v>
      </c>
      <c r="T191" s="2" t="s">
        <v>30</v>
      </c>
      <c r="U191" s="2" t="s">
        <v>23</v>
      </c>
      <c r="V191" s="2" t="s">
        <v>23</v>
      </c>
      <c r="W191" s="2" t="s">
        <v>30</v>
      </c>
      <c r="X191" s="2" t="s">
        <v>30</v>
      </c>
    </row>
    <row r="192" spans="1:24">
      <c r="A192" s="3"/>
      <c r="B192" t="s">
        <v>446</v>
      </c>
      <c r="C192" s="23">
        <v>10638</v>
      </c>
      <c r="D192" s="1">
        <v>45586</v>
      </c>
      <c r="E192" s="1" t="str">
        <f>PROPER(TEXT(Tabela1[[#This Row],[Data]],"dddd"))</f>
        <v>Segunda-Feira</v>
      </c>
      <c r="F192" s="21">
        <v>0.39583333333333331</v>
      </c>
      <c r="G192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92" t="s">
        <v>93</v>
      </c>
      <c r="I192" s="2" t="s">
        <v>23</v>
      </c>
      <c r="J192" t="s">
        <v>49</v>
      </c>
      <c r="K192" t="s">
        <v>75</v>
      </c>
      <c r="L192" t="s">
        <v>76</v>
      </c>
      <c r="M192" t="s">
        <v>388</v>
      </c>
      <c r="N192" t="s">
        <v>28</v>
      </c>
      <c r="O192" s="2">
        <v>7</v>
      </c>
      <c r="P192" t="s">
        <v>78</v>
      </c>
      <c r="Q192" s="2">
        <v>5</v>
      </c>
      <c r="R192" s="2">
        <v>0</v>
      </c>
      <c r="S192" s="6">
        <f>Tabela1[[#This Row],[Experiência Anos]]+(Tabela1[[#This Row],[Experiência Meses]]/12)</f>
        <v>5</v>
      </c>
      <c r="T192" s="2" t="s">
        <v>30</v>
      </c>
      <c r="U192" s="2" t="s">
        <v>23</v>
      </c>
      <c r="V192" s="2" t="s">
        <v>23</v>
      </c>
      <c r="W192" s="2" t="s">
        <v>30</v>
      </c>
      <c r="X192" s="2" t="s">
        <v>30</v>
      </c>
    </row>
    <row r="193" spans="1:24">
      <c r="A193" s="3"/>
      <c r="B193" t="s">
        <v>447</v>
      </c>
      <c r="C193" s="23">
        <v>10116</v>
      </c>
      <c r="D193" s="1">
        <v>45587</v>
      </c>
      <c r="E193" s="1" t="str">
        <f>PROPER(TEXT(Tabela1[[#This Row],[Data]],"dddd"))</f>
        <v>Terça-Feira</v>
      </c>
      <c r="F193" s="21">
        <v>0.22222222222222221</v>
      </c>
      <c r="G193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193" t="s">
        <v>414</v>
      </c>
      <c r="I193" s="2" t="s">
        <v>30</v>
      </c>
      <c r="J193" t="s">
        <v>39</v>
      </c>
      <c r="K193" t="s">
        <v>40</v>
      </c>
      <c r="L193" t="s">
        <v>41</v>
      </c>
      <c r="M193" t="s">
        <v>314</v>
      </c>
      <c r="N193" t="s">
        <v>101</v>
      </c>
      <c r="O193" s="2">
        <v>15</v>
      </c>
      <c r="P193" t="s">
        <v>29</v>
      </c>
      <c r="Q193" s="2">
        <v>8</v>
      </c>
      <c r="R193" s="2">
        <v>0</v>
      </c>
      <c r="S193" s="6">
        <f>Tabela1[[#This Row],[Experiência Anos]]+(Tabela1[[#This Row],[Experiência Meses]]/12)</f>
        <v>8</v>
      </c>
      <c r="T193" s="2" t="s">
        <v>23</v>
      </c>
      <c r="U193" s="2" t="s">
        <v>23</v>
      </c>
      <c r="V193" s="2" t="s">
        <v>23</v>
      </c>
      <c r="W193" s="2" t="s">
        <v>30</v>
      </c>
      <c r="X193" s="2" t="s">
        <v>30</v>
      </c>
    </row>
    <row r="194" spans="1:24">
      <c r="A194" s="3"/>
      <c r="B194" t="s">
        <v>448</v>
      </c>
      <c r="C194" s="23">
        <v>12083</v>
      </c>
      <c r="D194" s="1">
        <v>45587</v>
      </c>
      <c r="E194" s="1" t="str">
        <f>PROPER(TEXT(Tabela1[[#This Row],[Data]],"dddd"))</f>
        <v>Terça-Feira</v>
      </c>
      <c r="F194" s="21">
        <v>0.97222222222222221</v>
      </c>
      <c r="G194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194" t="s">
        <v>449</v>
      </c>
      <c r="I194" s="2" t="s">
        <v>23</v>
      </c>
      <c r="J194" t="s">
        <v>24</v>
      </c>
      <c r="K194" t="s">
        <v>25</v>
      </c>
      <c r="L194" t="s">
        <v>26</v>
      </c>
      <c r="M194" t="s">
        <v>45</v>
      </c>
      <c r="N194" t="s">
        <v>28</v>
      </c>
      <c r="O194" s="2">
        <v>2</v>
      </c>
      <c r="P194" t="s">
        <v>139</v>
      </c>
      <c r="Q194" s="2">
        <v>0</v>
      </c>
      <c r="R194" s="2">
        <v>4</v>
      </c>
      <c r="S194" s="6">
        <f>Tabela1[[#This Row],[Experiência Anos]]+(Tabela1[[#This Row],[Experiência Meses]]/12)</f>
        <v>0.33333333333333331</v>
      </c>
      <c r="T194" s="2" t="s">
        <v>30</v>
      </c>
      <c r="U194" s="2" t="s">
        <v>23</v>
      </c>
      <c r="V194" s="2" t="s">
        <v>23</v>
      </c>
      <c r="W194" s="2" t="s">
        <v>30</v>
      </c>
      <c r="X194" s="2" t="s">
        <v>30</v>
      </c>
    </row>
    <row r="195" spans="1:24">
      <c r="A195" s="3"/>
      <c r="B195" t="s">
        <v>450</v>
      </c>
      <c r="C195" s="23">
        <v>11824</v>
      </c>
      <c r="D195" s="1">
        <v>45593</v>
      </c>
      <c r="E195" s="1" t="str">
        <f>PROPER(TEXT(Tabela1[[#This Row],[Data]],"dddd"))</f>
        <v>Segunda-Feira</v>
      </c>
      <c r="F195" s="21">
        <v>0.71875</v>
      </c>
      <c r="G195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95" t="s">
        <v>324</v>
      </c>
      <c r="I195" s="2" t="s">
        <v>30</v>
      </c>
      <c r="J195" t="s">
        <v>39</v>
      </c>
      <c r="K195" t="s">
        <v>40</v>
      </c>
      <c r="L195" t="s">
        <v>41</v>
      </c>
      <c r="M195" t="s">
        <v>45</v>
      </c>
      <c r="N195" t="s">
        <v>101</v>
      </c>
      <c r="O195" s="2">
        <v>15</v>
      </c>
      <c r="P195" t="s">
        <v>139</v>
      </c>
      <c r="Q195" s="2">
        <v>1</v>
      </c>
      <c r="R195" s="2">
        <v>0</v>
      </c>
      <c r="S195" s="6">
        <f>Tabela1[[#This Row],[Experiência Anos]]+(Tabela1[[#This Row],[Experiência Meses]]/12)</f>
        <v>1</v>
      </c>
      <c r="T195" s="2" t="s">
        <v>23</v>
      </c>
      <c r="U195" s="2" t="s">
        <v>23</v>
      </c>
      <c r="V195" s="2" t="s">
        <v>23</v>
      </c>
      <c r="W195" s="2" t="s">
        <v>30</v>
      </c>
      <c r="X195" s="2" t="s">
        <v>30</v>
      </c>
    </row>
    <row r="196" spans="1:24">
      <c r="A196" s="3"/>
      <c r="B196" t="s">
        <v>451</v>
      </c>
      <c r="C196" s="23">
        <v>10706</v>
      </c>
      <c r="D196" s="1">
        <v>45596</v>
      </c>
      <c r="E196" s="1" t="str">
        <f>PROPER(TEXT(Tabela1[[#This Row],[Data]],"dddd"))</f>
        <v>Quinta-Feira</v>
      </c>
      <c r="F196" s="21">
        <v>0.77083333333333337</v>
      </c>
      <c r="G196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196" t="s">
        <v>452</v>
      </c>
      <c r="I196" s="2" t="s">
        <v>23</v>
      </c>
      <c r="J196" t="s">
        <v>39</v>
      </c>
      <c r="K196" t="s">
        <v>40</v>
      </c>
      <c r="L196" t="s">
        <v>41</v>
      </c>
      <c r="M196" t="s">
        <v>45</v>
      </c>
      <c r="N196" t="s">
        <v>101</v>
      </c>
      <c r="O196" s="2">
        <v>2</v>
      </c>
      <c r="P196" t="s">
        <v>29</v>
      </c>
      <c r="Q196" s="2">
        <v>1</v>
      </c>
      <c r="R196" s="2">
        <v>6</v>
      </c>
      <c r="S196" s="6">
        <f>Tabela1[[#This Row],[Experiência Anos]]+(Tabela1[[#This Row],[Experiência Meses]]/12)</f>
        <v>1.5</v>
      </c>
      <c r="T196" s="2" t="s">
        <v>23</v>
      </c>
      <c r="U196" s="2" t="s">
        <v>23</v>
      </c>
      <c r="V196" s="2" t="s">
        <v>23</v>
      </c>
      <c r="W196" s="2" t="s">
        <v>30</v>
      </c>
      <c r="X196" s="2" t="s">
        <v>30</v>
      </c>
    </row>
    <row r="197" spans="1:24">
      <c r="A197" s="3"/>
      <c r="B197" t="s">
        <v>453</v>
      </c>
      <c r="C197" s="23">
        <v>10959</v>
      </c>
      <c r="D197" s="1">
        <v>45609</v>
      </c>
      <c r="E197" s="1" t="str">
        <f>PROPER(TEXT(Tabela1[[#This Row],[Data]],"dddd"))</f>
        <v>Quarta-Feira</v>
      </c>
      <c r="F197" s="21">
        <v>0.39583333333333331</v>
      </c>
      <c r="G19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97" t="s">
        <v>454</v>
      </c>
      <c r="I197" s="2" t="s">
        <v>23</v>
      </c>
      <c r="J197" t="s">
        <v>49</v>
      </c>
      <c r="K197" t="s">
        <v>50</v>
      </c>
      <c r="L197" t="s">
        <v>51</v>
      </c>
      <c r="M197" t="s">
        <v>27</v>
      </c>
      <c r="N197" t="s">
        <v>28</v>
      </c>
      <c r="O197" s="2">
        <v>12</v>
      </c>
      <c r="P197" t="s">
        <v>46</v>
      </c>
      <c r="Q197" s="2">
        <v>3</v>
      </c>
      <c r="R197" s="2">
        <v>10</v>
      </c>
      <c r="S197" s="6">
        <f>Tabela1[[#This Row],[Experiência Anos]]+(Tabela1[[#This Row],[Experiência Meses]]/12)</f>
        <v>3.8333333333333335</v>
      </c>
      <c r="T197" s="2" t="s">
        <v>30</v>
      </c>
      <c r="U197" s="2" t="s">
        <v>23</v>
      </c>
      <c r="V197" s="2" t="s">
        <v>23</v>
      </c>
      <c r="W197" s="2" t="s">
        <v>30</v>
      </c>
      <c r="X197" s="2" t="s">
        <v>30</v>
      </c>
    </row>
    <row r="198" spans="1:24">
      <c r="A198" s="3"/>
      <c r="B198" t="s">
        <v>455</v>
      </c>
      <c r="C198" s="23">
        <v>11413</v>
      </c>
      <c r="D198" s="1">
        <v>45617</v>
      </c>
      <c r="E198" s="1" t="str">
        <f>PROPER(TEXT(Tabela1[[#This Row],[Data]],"dddd"))</f>
        <v>Quinta-Feira</v>
      </c>
      <c r="F198" s="21">
        <v>0.5</v>
      </c>
      <c r="G19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198" t="s">
        <v>356</v>
      </c>
      <c r="I198" s="2" t="s">
        <v>23</v>
      </c>
      <c r="J198" t="s">
        <v>49</v>
      </c>
      <c r="K198" t="s">
        <v>75</v>
      </c>
      <c r="L198" t="s">
        <v>76</v>
      </c>
      <c r="M198" t="s">
        <v>163</v>
      </c>
      <c r="N198" t="s">
        <v>28</v>
      </c>
      <c r="O198" s="2">
        <v>2</v>
      </c>
      <c r="P198" t="s">
        <v>46</v>
      </c>
      <c r="Q198" s="2">
        <v>1</v>
      </c>
      <c r="R198" s="2">
        <v>3</v>
      </c>
      <c r="S198" s="6">
        <f>Tabela1[[#This Row],[Experiência Anos]]+(Tabela1[[#This Row],[Experiência Meses]]/12)</f>
        <v>1.25</v>
      </c>
      <c r="T198" s="2" t="s">
        <v>23</v>
      </c>
      <c r="U198" s="2" t="s">
        <v>30</v>
      </c>
      <c r="V198" s="2" t="s">
        <v>23</v>
      </c>
      <c r="W198" s="2" t="s">
        <v>30</v>
      </c>
      <c r="X198" s="2" t="s">
        <v>30</v>
      </c>
    </row>
    <row r="199" spans="1:24">
      <c r="A199" s="3"/>
      <c r="B199" t="s">
        <v>456</v>
      </c>
      <c r="C199" s="23">
        <v>10594</v>
      </c>
      <c r="D199" s="1">
        <v>45622</v>
      </c>
      <c r="E199" s="1" t="str">
        <f>PROPER(TEXT(Tabela1[[#This Row],[Data]],"dddd"))</f>
        <v>Terça-Feira</v>
      </c>
      <c r="F199" s="21">
        <v>0.31944444444444442</v>
      </c>
      <c r="G199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199" t="s">
        <v>53</v>
      </c>
      <c r="I199" s="2" t="s">
        <v>23</v>
      </c>
      <c r="J199" t="s">
        <v>39</v>
      </c>
      <c r="K199" t="s">
        <v>40</v>
      </c>
      <c r="L199" t="s">
        <v>41</v>
      </c>
      <c r="M199" t="s">
        <v>56</v>
      </c>
      <c r="N199" t="s">
        <v>28</v>
      </c>
      <c r="O199" s="2">
        <v>7</v>
      </c>
      <c r="P199" t="s">
        <v>29</v>
      </c>
      <c r="Q199" s="2">
        <v>1</v>
      </c>
      <c r="R199" s="2">
        <v>0</v>
      </c>
      <c r="S199" s="6">
        <f>Tabela1[[#This Row],[Experiência Anos]]+(Tabela1[[#This Row],[Experiência Meses]]/12)</f>
        <v>1</v>
      </c>
      <c r="T199" s="2" t="s">
        <v>30</v>
      </c>
      <c r="U199" s="2" t="s">
        <v>23</v>
      </c>
      <c r="V199" s="2" t="s">
        <v>23</v>
      </c>
      <c r="W199" s="2" t="s">
        <v>30</v>
      </c>
      <c r="X199" s="2" t="s">
        <v>30</v>
      </c>
    </row>
    <row r="200" spans="1:24">
      <c r="A200" s="3"/>
      <c r="B200" t="s">
        <v>457</v>
      </c>
      <c r="C200" s="23">
        <v>11761</v>
      </c>
      <c r="D200" s="1">
        <v>45623</v>
      </c>
      <c r="E200" s="1" t="str">
        <f>PROPER(TEXT(Tabela1[[#This Row],[Data]],"dddd"))</f>
        <v>Quarta-Feira</v>
      </c>
      <c r="F200" s="21">
        <v>0.9375</v>
      </c>
      <c r="G200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00" t="s">
        <v>458</v>
      </c>
      <c r="I200" s="2" t="s">
        <v>23</v>
      </c>
      <c r="J200" t="s">
        <v>24</v>
      </c>
      <c r="K200" t="s">
        <v>166</v>
      </c>
      <c r="L200" t="s">
        <v>167</v>
      </c>
      <c r="M200" t="s">
        <v>45</v>
      </c>
      <c r="N200" t="s">
        <v>28</v>
      </c>
      <c r="O200" s="2">
        <v>0</v>
      </c>
      <c r="P200" t="s">
        <v>46</v>
      </c>
      <c r="Q200" s="2">
        <v>1</v>
      </c>
      <c r="R200" s="2">
        <v>7</v>
      </c>
      <c r="S200" s="6">
        <f>Tabela1[[#This Row],[Experiência Anos]]+(Tabela1[[#This Row],[Experiência Meses]]/12)</f>
        <v>1.5833333333333335</v>
      </c>
      <c r="T200" s="2" t="s">
        <v>23</v>
      </c>
      <c r="U200" s="2" t="s">
        <v>30</v>
      </c>
      <c r="V200" s="2" t="s">
        <v>23</v>
      </c>
      <c r="W200" s="2" t="s">
        <v>30</v>
      </c>
      <c r="X200" s="2" t="s">
        <v>30</v>
      </c>
    </row>
    <row r="201" spans="1:24">
      <c r="A201" s="3"/>
      <c r="B201" t="s">
        <v>459</v>
      </c>
      <c r="C201" s="23">
        <v>9231</v>
      </c>
      <c r="D201" s="1">
        <v>45630</v>
      </c>
      <c r="E201" s="1" t="str">
        <f>PROPER(TEXT(Tabela1[[#This Row],[Data]],"dddd"))</f>
        <v>Quarta-Feira</v>
      </c>
      <c r="F201" s="21">
        <v>0.95833333333333337</v>
      </c>
      <c r="G201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01" t="s">
        <v>460</v>
      </c>
      <c r="I201" s="2" t="s">
        <v>23</v>
      </c>
      <c r="J201" t="s">
        <v>49</v>
      </c>
      <c r="K201" t="s">
        <v>75</v>
      </c>
      <c r="L201" t="s">
        <v>76</v>
      </c>
      <c r="M201" t="s">
        <v>163</v>
      </c>
      <c r="N201" t="s">
        <v>28</v>
      </c>
      <c r="O201" s="2">
        <v>1</v>
      </c>
      <c r="P201" t="s">
        <v>281</v>
      </c>
      <c r="Q201" s="2">
        <v>1</v>
      </c>
      <c r="R201" s="2">
        <v>0</v>
      </c>
      <c r="S201" s="6">
        <f>Tabela1[[#This Row],[Experiência Anos]]+(Tabela1[[#This Row],[Experiência Meses]]/12)</f>
        <v>1</v>
      </c>
      <c r="T201" s="2" t="s">
        <v>30</v>
      </c>
      <c r="U201" s="2" t="s">
        <v>30</v>
      </c>
      <c r="V201" s="2" t="s">
        <v>23</v>
      </c>
      <c r="W201" s="2" t="s">
        <v>30</v>
      </c>
      <c r="X201" s="2" t="s">
        <v>30</v>
      </c>
    </row>
    <row r="202" spans="1:24">
      <c r="A202" s="3"/>
      <c r="B202" t="s">
        <v>461</v>
      </c>
      <c r="C202" s="23">
        <v>11693</v>
      </c>
      <c r="D202" s="1">
        <v>45644</v>
      </c>
      <c r="E202" s="1" t="str">
        <f>PROPER(TEXT(Tabela1[[#This Row],[Data]],"dddd"))</f>
        <v>Quarta-Feira</v>
      </c>
      <c r="F202" s="21">
        <v>0.74097222222222225</v>
      </c>
      <c r="G20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02" t="s">
        <v>462</v>
      </c>
      <c r="I202" s="2" t="s">
        <v>23</v>
      </c>
      <c r="J202" t="s">
        <v>24</v>
      </c>
      <c r="K202" t="s">
        <v>25</v>
      </c>
      <c r="L202" t="s">
        <v>26</v>
      </c>
      <c r="M202" t="s">
        <v>56</v>
      </c>
      <c r="N202" t="s">
        <v>28</v>
      </c>
      <c r="O202" s="2">
        <v>7</v>
      </c>
      <c r="P202" t="s">
        <v>139</v>
      </c>
      <c r="Q202" s="2">
        <v>1</v>
      </c>
      <c r="R202" s="2">
        <v>10</v>
      </c>
      <c r="S202" s="6">
        <f>Tabela1[[#This Row],[Experiência Anos]]+(Tabela1[[#This Row],[Experiência Meses]]/12)</f>
        <v>1.8333333333333335</v>
      </c>
      <c r="T202" s="2" t="s">
        <v>23</v>
      </c>
      <c r="U202" s="2" t="s">
        <v>30</v>
      </c>
      <c r="V202" s="2" t="s">
        <v>23</v>
      </c>
      <c r="W202" s="2" t="s">
        <v>30</v>
      </c>
      <c r="X202" s="2" t="s">
        <v>30</v>
      </c>
    </row>
    <row r="203" spans="1:24">
      <c r="A203" s="3"/>
      <c r="B203" t="s">
        <v>463</v>
      </c>
      <c r="C203" s="23">
        <v>11523</v>
      </c>
      <c r="D203" s="1">
        <v>45645</v>
      </c>
      <c r="E203" s="1" t="str">
        <f>PROPER(TEXT(Tabela1[[#This Row],[Data]],"dddd"))</f>
        <v>Quinta-Feira</v>
      </c>
      <c r="F203" s="21">
        <v>0.77777777777777779</v>
      </c>
      <c r="G203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03" t="s">
        <v>464</v>
      </c>
      <c r="I203" s="2" t="s">
        <v>23</v>
      </c>
      <c r="J203" t="s">
        <v>49</v>
      </c>
      <c r="K203" t="s">
        <v>50</v>
      </c>
      <c r="L203" t="s">
        <v>51</v>
      </c>
      <c r="M203" t="s">
        <v>577</v>
      </c>
      <c r="N203" t="s">
        <v>101</v>
      </c>
      <c r="O203" s="2">
        <v>10</v>
      </c>
      <c r="P203" t="s">
        <v>139</v>
      </c>
      <c r="Q203" s="2">
        <v>2</v>
      </c>
      <c r="R203" s="2">
        <v>4</v>
      </c>
      <c r="S203" s="6">
        <f>Tabela1[[#This Row],[Experiência Anos]]+(Tabela1[[#This Row],[Experiência Meses]]/12)</f>
        <v>2.3333333333333335</v>
      </c>
      <c r="T203" s="2" t="s">
        <v>23</v>
      </c>
      <c r="U203" s="2" t="s">
        <v>30</v>
      </c>
      <c r="V203" s="2" t="s">
        <v>23</v>
      </c>
      <c r="W203" s="2" t="s">
        <v>30</v>
      </c>
      <c r="X203" s="2" t="s">
        <v>30</v>
      </c>
    </row>
    <row r="204" spans="1:24">
      <c r="A204" s="3"/>
      <c r="B204" t="s">
        <v>465</v>
      </c>
      <c r="C204" s="23">
        <v>11825</v>
      </c>
      <c r="D204" s="1">
        <v>45646</v>
      </c>
      <c r="E204" s="1" t="str">
        <f>PROPER(TEXT(Tabela1[[#This Row],[Data]],"dddd"))</f>
        <v>Sexta-Feira</v>
      </c>
      <c r="F204" s="21">
        <v>0.15277777777777779</v>
      </c>
      <c r="G204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204" t="s">
        <v>466</v>
      </c>
      <c r="I204" s="2" t="s">
        <v>23</v>
      </c>
      <c r="J204" t="s">
        <v>33</v>
      </c>
      <c r="K204" t="s">
        <v>34</v>
      </c>
      <c r="L204" t="s">
        <v>35</v>
      </c>
      <c r="M204" t="s">
        <v>314</v>
      </c>
      <c r="N204" t="s">
        <v>28</v>
      </c>
      <c r="O204" s="2">
        <v>7</v>
      </c>
      <c r="P204" t="s">
        <v>139</v>
      </c>
      <c r="Q204" s="2">
        <v>2</v>
      </c>
      <c r="R204" s="2">
        <v>6</v>
      </c>
      <c r="S204" s="6">
        <f>Tabela1[[#This Row],[Experiência Anos]]+(Tabela1[[#This Row],[Experiência Meses]]/12)</f>
        <v>2.5</v>
      </c>
      <c r="T204" s="2" t="s">
        <v>30</v>
      </c>
      <c r="U204" s="2" t="s">
        <v>23</v>
      </c>
      <c r="V204" s="2" t="s">
        <v>23</v>
      </c>
      <c r="W204" s="2" t="s">
        <v>30</v>
      </c>
      <c r="X204" s="2" t="s">
        <v>30</v>
      </c>
    </row>
    <row r="205" spans="1:24">
      <c r="A205" s="3"/>
      <c r="B205" t="s">
        <v>467</v>
      </c>
      <c r="C205" s="23">
        <v>11728</v>
      </c>
      <c r="D205" s="1">
        <v>45663</v>
      </c>
      <c r="E205" s="1" t="str">
        <f>PROPER(TEXT(Tabela1[[#This Row],[Data]],"dddd"))</f>
        <v>Segunda-Feira</v>
      </c>
      <c r="F205" s="21">
        <v>0.56805555555555554</v>
      </c>
      <c r="G205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05" t="s">
        <v>468</v>
      </c>
      <c r="I205" s="2" t="s">
        <v>23</v>
      </c>
      <c r="J205" t="s">
        <v>24</v>
      </c>
      <c r="K205" t="s">
        <v>25</v>
      </c>
      <c r="L205" t="s">
        <v>26</v>
      </c>
      <c r="M205" t="s">
        <v>56</v>
      </c>
      <c r="N205" t="s">
        <v>28</v>
      </c>
      <c r="O205" s="2">
        <v>14</v>
      </c>
      <c r="P205" t="s">
        <v>87</v>
      </c>
      <c r="Q205" s="2">
        <v>1</v>
      </c>
      <c r="R205" s="2">
        <v>10</v>
      </c>
      <c r="S205" s="6">
        <f>Tabela1[[#This Row],[Experiência Anos]]+(Tabela1[[#This Row],[Experiência Meses]]/12)</f>
        <v>1.8333333333333335</v>
      </c>
      <c r="T205" s="2" t="s">
        <v>30</v>
      </c>
      <c r="U205" s="2" t="s">
        <v>30</v>
      </c>
      <c r="V205" s="2" t="s">
        <v>23</v>
      </c>
      <c r="W205" s="2" t="s">
        <v>30</v>
      </c>
      <c r="X205" s="2" t="s">
        <v>30</v>
      </c>
    </row>
    <row r="206" spans="1:24">
      <c r="A206" s="3"/>
      <c r="B206" t="s">
        <v>469</v>
      </c>
      <c r="C206" s="23">
        <v>459</v>
      </c>
      <c r="D206" s="1">
        <v>45666</v>
      </c>
      <c r="E206" s="1" t="str">
        <f>PROPER(TEXT(Tabela1[[#This Row],[Data]],"dddd"))</f>
        <v>Quinta-Feira</v>
      </c>
      <c r="F206" s="21">
        <v>0.52430555555555558</v>
      </c>
      <c r="G20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06" t="s">
        <v>240</v>
      </c>
      <c r="I206" s="2" t="s">
        <v>23</v>
      </c>
      <c r="J206" t="s">
        <v>24</v>
      </c>
      <c r="K206" t="s">
        <v>166</v>
      </c>
      <c r="L206" t="s">
        <v>167</v>
      </c>
      <c r="M206" t="s">
        <v>388</v>
      </c>
      <c r="N206" t="s">
        <v>28</v>
      </c>
      <c r="O206" s="2">
        <v>7</v>
      </c>
      <c r="P206" t="s">
        <v>46</v>
      </c>
      <c r="Q206" s="2">
        <v>19</v>
      </c>
      <c r="R206" s="2">
        <v>0</v>
      </c>
      <c r="S206" s="6">
        <f>Tabela1[[#This Row],[Experiência Anos]]+(Tabela1[[#This Row],[Experiência Meses]]/12)</f>
        <v>19</v>
      </c>
      <c r="T206" s="2" t="s">
        <v>30</v>
      </c>
      <c r="U206" s="2" t="s">
        <v>23</v>
      </c>
      <c r="V206" s="2" t="s">
        <v>23</v>
      </c>
      <c r="W206" s="2" t="s">
        <v>30</v>
      </c>
      <c r="X206" s="2" t="s">
        <v>30</v>
      </c>
    </row>
    <row r="207" spans="1:24">
      <c r="A207" s="3"/>
      <c r="B207" t="s">
        <v>470</v>
      </c>
      <c r="C207" s="23">
        <v>11260</v>
      </c>
      <c r="D207" s="1">
        <v>45680</v>
      </c>
      <c r="E207" s="1" t="str">
        <f>PROPER(TEXT(Tabela1[[#This Row],[Data]],"dddd"))</f>
        <v>Quinta-Feira</v>
      </c>
      <c r="F207" s="21">
        <v>0.13055555555555556</v>
      </c>
      <c r="G207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207" t="s">
        <v>471</v>
      </c>
      <c r="I207" s="2" t="s">
        <v>23</v>
      </c>
      <c r="J207" t="s">
        <v>33</v>
      </c>
      <c r="K207" t="s">
        <v>34</v>
      </c>
      <c r="L207" t="s">
        <v>35</v>
      </c>
      <c r="M207" t="s">
        <v>45</v>
      </c>
      <c r="N207" t="s">
        <v>28</v>
      </c>
      <c r="O207" s="2">
        <v>1</v>
      </c>
      <c r="P207" t="s">
        <v>84</v>
      </c>
      <c r="Q207" s="2">
        <v>3</v>
      </c>
      <c r="R207" s="2">
        <v>1</v>
      </c>
      <c r="S207" s="6">
        <f>Tabela1[[#This Row],[Experiência Anos]]+(Tabela1[[#This Row],[Experiência Meses]]/12)</f>
        <v>3.0833333333333335</v>
      </c>
      <c r="T207" s="2" t="s">
        <v>30</v>
      </c>
      <c r="U207" s="2" t="s">
        <v>30</v>
      </c>
      <c r="V207" s="2" t="s">
        <v>23</v>
      </c>
      <c r="W207" s="2" t="s">
        <v>30</v>
      </c>
      <c r="X207" s="2" t="s">
        <v>30</v>
      </c>
    </row>
    <row r="208" spans="1:24">
      <c r="A208" s="3"/>
      <c r="B208" t="s">
        <v>472</v>
      </c>
      <c r="C208" s="23">
        <v>12062</v>
      </c>
      <c r="D208" s="1">
        <v>45688</v>
      </c>
      <c r="E208" s="1" t="str">
        <f>PROPER(TEXT(Tabela1[[#This Row],[Data]],"dddd"))</f>
        <v>Sexta-Feira</v>
      </c>
      <c r="F208" s="21">
        <v>0.60138888888888886</v>
      </c>
      <c r="G20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08" t="s">
        <v>473</v>
      </c>
      <c r="I208" s="2" t="s">
        <v>23</v>
      </c>
      <c r="J208" t="s">
        <v>24</v>
      </c>
      <c r="K208" t="s">
        <v>25</v>
      </c>
      <c r="L208" t="s">
        <v>26</v>
      </c>
      <c r="M208" t="s">
        <v>45</v>
      </c>
      <c r="N208" t="s">
        <v>28</v>
      </c>
      <c r="O208" s="2">
        <v>2</v>
      </c>
      <c r="P208" t="s">
        <v>29</v>
      </c>
      <c r="Q208" s="2">
        <v>0</v>
      </c>
      <c r="R208" s="2">
        <v>8</v>
      </c>
      <c r="S208" s="6">
        <f>Tabela1[[#This Row],[Experiência Anos]]+(Tabela1[[#This Row],[Experiência Meses]]/12)</f>
        <v>0.66666666666666663</v>
      </c>
      <c r="T208" s="2" t="s">
        <v>23</v>
      </c>
      <c r="U208" s="2" t="s">
        <v>30</v>
      </c>
      <c r="V208" s="2" t="s">
        <v>23</v>
      </c>
      <c r="W208" s="2" t="s">
        <v>30</v>
      </c>
      <c r="X208" s="2" t="s">
        <v>30</v>
      </c>
    </row>
    <row r="209" spans="1:24">
      <c r="A209" s="3"/>
      <c r="B209" t="s">
        <v>474</v>
      </c>
      <c r="C209" s="23">
        <v>49962</v>
      </c>
      <c r="D209" s="1">
        <v>45692</v>
      </c>
      <c r="E209" s="1" t="str">
        <f>PROPER(TEXT(Tabela1[[#This Row],[Data]],"dddd"))</f>
        <v>Terça-Feira</v>
      </c>
      <c r="F209" s="21">
        <v>0.46319444444444446</v>
      </c>
      <c r="G209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09" t="s">
        <v>475</v>
      </c>
      <c r="I209" s="2" t="s">
        <v>23</v>
      </c>
      <c r="J209" t="s">
        <v>39</v>
      </c>
      <c r="K209" t="s">
        <v>40</v>
      </c>
      <c r="L209" t="s">
        <v>41</v>
      </c>
      <c r="M209" t="s">
        <v>45</v>
      </c>
      <c r="N209" t="s">
        <v>28</v>
      </c>
      <c r="O209" s="2">
        <v>1</v>
      </c>
      <c r="P209" t="s">
        <v>87</v>
      </c>
      <c r="Q209" s="2">
        <v>0</v>
      </c>
      <c r="R209" s="2">
        <v>2</v>
      </c>
      <c r="S209" s="6">
        <f>Tabela1[[#This Row],[Experiência Anos]]+(Tabela1[[#This Row],[Experiência Meses]]/12)</f>
        <v>0.16666666666666666</v>
      </c>
      <c r="T209" s="2" t="s">
        <v>23</v>
      </c>
      <c r="U209" s="2" t="s">
        <v>30</v>
      </c>
      <c r="V209" s="2" t="s">
        <v>23</v>
      </c>
      <c r="W209" s="2" t="s">
        <v>30</v>
      </c>
      <c r="X209" s="2" t="s">
        <v>30</v>
      </c>
    </row>
    <row r="210" spans="1:24">
      <c r="A210" s="3"/>
      <c r="B210" t="s">
        <v>476</v>
      </c>
      <c r="C210" s="23">
        <v>8797</v>
      </c>
      <c r="D210" s="1">
        <v>45701</v>
      </c>
      <c r="E210" s="1" t="str">
        <f>PROPER(TEXT(Tabela1[[#This Row],[Data]],"dddd"))</f>
        <v>Quinta-Feira</v>
      </c>
      <c r="F210" s="21">
        <v>0.50694444444444442</v>
      </c>
      <c r="G210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10" t="s">
        <v>205</v>
      </c>
      <c r="I210" s="2" t="s">
        <v>30</v>
      </c>
      <c r="J210" t="s">
        <v>49</v>
      </c>
      <c r="K210" t="s">
        <v>75</v>
      </c>
      <c r="L210" t="s">
        <v>76</v>
      </c>
      <c r="M210" t="s">
        <v>77</v>
      </c>
      <c r="N210" t="s">
        <v>28</v>
      </c>
      <c r="O210" s="2">
        <v>15</v>
      </c>
      <c r="P210" t="s">
        <v>139</v>
      </c>
      <c r="Q210" s="2">
        <v>12</v>
      </c>
      <c r="R210" s="2">
        <v>9</v>
      </c>
      <c r="S210" s="6">
        <f>Tabela1[[#This Row],[Experiência Anos]]+(Tabela1[[#This Row],[Experiência Meses]]/12)</f>
        <v>12.75</v>
      </c>
      <c r="T210" s="2" t="s">
        <v>23</v>
      </c>
      <c r="U210" s="2" t="s">
        <v>30</v>
      </c>
      <c r="V210" s="2" t="s">
        <v>23</v>
      </c>
      <c r="W210" s="2" t="s">
        <v>30</v>
      </c>
      <c r="X210" s="2" t="s">
        <v>30</v>
      </c>
    </row>
    <row r="211" spans="1:24">
      <c r="A211" s="3"/>
      <c r="B211" t="s">
        <v>477</v>
      </c>
      <c r="C211" s="23">
        <v>11176</v>
      </c>
      <c r="D211" s="1">
        <v>45706</v>
      </c>
      <c r="E211" s="1" t="str">
        <f>PROPER(TEXT(Tabela1[[#This Row],[Data]],"dddd"))</f>
        <v>Terça-Feira</v>
      </c>
      <c r="F211" s="21">
        <v>0.64583333333333337</v>
      </c>
      <c r="G21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11" t="s">
        <v>134</v>
      </c>
      <c r="I211" s="2" t="s">
        <v>23</v>
      </c>
      <c r="J211" t="s">
        <v>39</v>
      </c>
      <c r="K211" t="s">
        <v>40</v>
      </c>
      <c r="L211" t="s">
        <v>41</v>
      </c>
      <c r="M211" t="s">
        <v>42</v>
      </c>
      <c r="N211" t="s">
        <v>28</v>
      </c>
      <c r="O211" s="2">
        <v>8</v>
      </c>
      <c r="P211" t="s">
        <v>29</v>
      </c>
      <c r="Q211" s="2">
        <v>3</v>
      </c>
      <c r="R211" s="2">
        <v>6</v>
      </c>
      <c r="S211" s="6">
        <f>Tabela1[[#This Row],[Experiência Anos]]+(Tabela1[[#This Row],[Experiência Meses]]/12)</f>
        <v>3.5</v>
      </c>
      <c r="T211" s="2" t="s">
        <v>23</v>
      </c>
      <c r="U211" s="2" t="s">
        <v>30</v>
      </c>
      <c r="V211" s="2" t="s">
        <v>23</v>
      </c>
      <c r="W211" s="2" t="s">
        <v>30</v>
      </c>
      <c r="X211" s="2" t="s">
        <v>30</v>
      </c>
    </row>
    <row r="212" spans="1:24">
      <c r="A212" s="3"/>
      <c r="B212" t="s">
        <v>478</v>
      </c>
      <c r="C212" s="23">
        <v>12190</v>
      </c>
      <c r="D212" s="1">
        <v>45727</v>
      </c>
      <c r="E212" s="1" t="str">
        <f>PROPER(TEXT(Tabela1[[#This Row],[Data]],"dddd"))</f>
        <v>Terça-Feira</v>
      </c>
      <c r="F212" s="21">
        <v>0.55763888888888891</v>
      </c>
      <c r="G21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12" t="s">
        <v>479</v>
      </c>
      <c r="I212" s="2" t="s">
        <v>23</v>
      </c>
      <c r="J212" t="s">
        <v>49</v>
      </c>
      <c r="K212" t="s">
        <v>50</v>
      </c>
      <c r="L212" t="s">
        <v>51</v>
      </c>
      <c r="M212" t="s">
        <v>56</v>
      </c>
      <c r="N212" t="s">
        <v>28</v>
      </c>
      <c r="O212" s="2">
        <v>3</v>
      </c>
      <c r="P212" t="s">
        <v>29</v>
      </c>
      <c r="Q212" s="2">
        <v>0</v>
      </c>
      <c r="R212" s="2">
        <v>5</v>
      </c>
      <c r="S212" s="6">
        <f>Tabela1[[#This Row],[Experiência Anos]]+(Tabela1[[#This Row],[Experiência Meses]]/12)</f>
        <v>0.41666666666666669</v>
      </c>
      <c r="T212" s="2" t="s">
        <v>30</v>
      </c>
      <c r="U212" s="2" t="s">
        <v>30</v>
      </c>
      <c r="V212" s="2" t="s">
        <v>23</v>
      </c>
      <c r="W212" s="2" t="s">
        <v>30</v>
      </c>
      <c r="X212" s="2" t="s">
        <v>30</v>
      </c>
    </row>
    <row r="213" spans="1:24">
      <c r="A213" s="3"/>
      <c r="B213" t="s">
        <v>480</v>
      </c>
      <c r="C213" s="23">
        <v>49962</v>
      </c>
      <c r="D213" s="1">
        <v>45733</v>
      </c>
      <c r="E213" s="1" t="str">
        <f>PROPER(TEXT(Tabela1[[#This Row],[Data]],"dddd"))</f>
        <v>Segunda-Feira</v>
      </c>
      <c r="F213" s="21">
        <v>0.43055555555555558</v>
      </c>
      <c r="G21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13" t="s">
        <v>475</v>
      </c>
      <c r="I213" s="2" t="s">
        <v>23</v>
      </c>
      <c r="J213" t="s">
        <v>39</v>
      </c>
      <c r="K213" t="s">
        <v>40</v>
      </c>
      <c r="L213" t="s">
        <v>41</v>
      </c>
      <c r="M213" t="s">
        <v>45</v>
      </c>
      <c r="N213" t="s">
        <v>28</v>
      </c>
      <c r="O213" s="2">
        <v>5</v>
      </c>
      <c r="P213" t="s">
        <v>84</v>
      </c>
      <c r="Q213" s="2">
        <v>0</v>
      </c>
      <c r="R213" s="2">
        <v>2</v>
      </c>
      <c r="S213" s="6">
        <f>Tabela1[[#This Row],[Experiência Anos]]+(Tabela1[[#This Row],[Experiência Meses]]/12)</f>
        <v>0.16666666666666666</v>
      </c>
      <c r="T213" s="2" t="s">
        <v>30</v>
      </c>
      <c r="U213" s="2" t="s">
        <v>23</v>
      </c>
      <c r="V213" s="2" t="s">
        <v>23</v>
      </c>
      <c r="W213" s="2" t="s">
        <v>23</v>
      </c>
      <c r="X213" s="2" t="s">
        <v>23</v>
      </c>
    </row>
    <row r="214" spans="1:24">
      <c r="A214" s="3"/>
      <c r="B214" t="s">
        <v>481</v>
      </c>
      <c r="C214" s="23">
        <v>8227</v>
      </c>
      <c r="D214" s="1">
        <v>45752</v>
      </c>
      <c r="E214" s="1" t="str">
        <f>PROPER(TEXT(Tabela1[[#This Row],[Data]],"dddd"))</f>
        <v>Sábado</v>
      </c>
      <c r="F214" s="21">
        <v>1.5277777777777777E-2</v>
      </c>
      <c r="G214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214" t="s">
        <v>482</v>
      </c>
      <c r="I214" s="2" t="s">
        <v>30</v>
      </c>
      <c r="J214" t="s">
        <v>49</v>
      </c>
      <c r="K214" t="s">
        <v>75</v>
      </c>
      <c r="L214" t="s">
        <v>76</v>
      </c>
      <c r="M214" t="s">
        <v>163</v>
      </c>
      <c r="N214" t="s">
        <v>28</v>
      </c>
      <c r="O214" s="2">
        <v>15</v>
      </c>
      <c r="P214" t="s">
        <v>29</v>
      </c>
      <c r="Q214" s="2">
        <v>14</v>
      </c>
      <c r="R214" s="2">
        <v>0</v>
      </c>
      <c r="S214" s="6">
        <f>Tabela1[[#This Row],[Experiência Anos]]+(Tabela1[[#This Row],[Experiência Meses]]/12)</f>
        <v>14</v>
      </c>
      <c r="T214" s="2" t="s">
        <v>30</v>
      </c>
      <c r="U214" s="2" t="s">
        <v>23</v>
      </c>
      <c r="V214" s="2" t="s">
        <v>30</v>
      </c>
      <c r="W214" s="2" t="s">
        <v>30</v>
      </c>
      <c r="X214" s="2" t="s">
        <v>23</v>
      </c>
    </row>
    <row r="215" spans="1:24">
      <c r="A215" s="3"/>
      <c r="B215" t="s">
        <v>483</v>
      </c>
      <c r="C215" s="23">
        <v>6255</v>
      </c>
      <c r="D215" s="1">
        <v>45762</v>
      </c>
      <c r="E215" s="1" t="str">
        <f>PROPER(TEXT(Tabela1[[#This Row],[Data]],"dddd"))</f>
        <v>Terça-Feira</v>
      </c>
      <c r="F215" s="21">
        <v>0.9194444444444444</v>
      </c>
      <c r="G215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15" t="s">
        <v>484</v>
      </c>
      <c r="I215" s="2" t="s">
        <v>23</v>
      </c>
      <c r="J215" t="s">
        <v>49</v>
      </c>
      <c r="K215" t="s">
        <v>75</v>
      </c>
      <c r="L215" t="s">
        <v>76</v>
      </c>
      <c r="M215" t="s">
        <v>163</v>
      </c>
      <c r="N215" t="s">
        <v>28</v>
      </c>
      <c r="O215" s="2">
        <v>12</v>
      </c>
      <c r="P215" t="s">
        <v>29</v>
      </c>
      <c r="Q215" s="2">
        <v>17</v>
      </c>
      <c r="R215" s="2">
        <v>8</v>
      </c>
      <c r="S215" s="6">
        <f>Tabela1[[#This Row],[Experiência Anos]]+(Tabela1[[#This Row],[Experiência Meses]]/12)</f>
        <v>17.666666666666668</v>
      </c>
      <c r="T215" s="2" t="s">
        <v>23</v>
      </c>
      <c r="U215" s="2" t="s">
        <v>23</v>
      </c>
      <c r="V215" s="2" t="s">
        <v>30</v>
      </c>
      <c r="W215" s="2" t="s">
        <v>30</v>
      </c>
      <c r="X215" s="2" t="s">
        <v>23</v>
      </c>
    </row>
    <row r="216" spans="1:24">
      <c r="A216" s="3"/>
      <c r="B216" t="s">
        <v>485</v>
      </c>
      <c r="C216" s="23">
        <v>12158</v>
      </c>
      <c r="D216" s="1">
        <v>45764</v>
      </c>
      <c r="E216" s="1" t="str">
        <f>PROPER(TEXT(Tabela1[[#This Row],[Data]],"dddd"))</f>
        <v>Quinta-Feira</v>
      </c>
      <c r="F216" s="21">
        <v>0.5</v>
      </c>
      <c r="G21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16" t="s">
        <v>486</v>
      </c>
      <c r="I216" s="2" t="s">
        <v>30</v>
      </c>
      <c r="J216" t="s">
        <v>49</v>
      </c>
      <c r="K216" t="s">
        <v>75</v>
      </c>
      <c r="L216" t="s">
        <v>76</v>
      </c>
      <c r="M216" t="s">
        <v>77</v>
      </c>
      <c r="N216" t="s">
        <v>28</v>
      </c>
      <c r="O216" s="2">
        <v>15</v>
      </c>
      <c r="P216" t="s">
        <v>29</v>
      </c>
      <c r="Q216" s="2">
        <v>0</v>
      </c>
      <c r="R216" s="2">
        <v>7</v>
      </c>
      <c r="S216" s="6">
        <f>Tabela1[[#This Row],[Experiência Anos]]+(Tabela1[[#This Row],[Experiência Meses]]/12)</f>
        <v>0.58333333333333337</v>
      </c>
      <c r="T216" s="2" t="s">
        <v>23</v>
      </c>
      <c r="U216" s="2" t="s">
        <v>30</v>
      </c>
      <c r="V216" s="2" t="s">
        <v>23</v>
      </c>
      <c r="W216" s="2" t="s">
        <v>30</v>
      </c>
      <c r="X216" s="2" t="s">
        <v>30</v>
      </c>
    </row>
    <row r="217" spans="1:24">
      <c r="A217" s="3"/>
      <c r="B217" t="s">
        <v>487</v>
      </c>
      <c r="C217" s="23">
        <v>11527</v>
      </c>
      <c r="D217" s="1">
        <v>45776</v>
      </c>
      <c r="E217" s="1" t="str">
        <f>PROPER(TEXT(Tabela1[[#This Row],[Data]],"dddd"))</f>
        <v>Terça-Feira</v>
      </c>
      <c r="F217" s="21">
        <v>0.9375</v>
      </c>
      <c r="G217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17" t="s">
        <v>488</v>
      </c>
      <c r="I217" s="2" t="s">
        <v>30</v>
      </c>
      <c r="J217" t="s">
        <v>49</v>
      </c>
      <c r="K217" t="s">
        <v>75</v>
      </c>
      <c r="L217" t="s">
        <v>76</v>
      </c>
      <c r="M217" t="s">
        <v>388</v>
      </c>
      <c r="N217" t="s">
        <v>28</v>
      </c>
      <c r="O217" s="2">
        <v>15</v>
      </c>
      <c r="P217" t="s">
        <v>29</v>
      </c>
      <c r="Q217" s="2">
        <v>3</v>
      </c>
      <c r="R217" s="2">
        <v>0</v>
      </c>
      <c r="S217" s="6">
        <f>Tabela1[[#This Row],[Experiência Anos]]+(Tabela1[[#This Row],[Experiência Meses]]/12)</f>
        <v>3</v>
      </c>
      <c r="T217" s="2" t="s">
        <v>23</v>
      </c>
      <c r="U217" s="2" t="s">
        <v>23</v>
      </c>
      <c r="V217" s="2" t="s">
        <v>23</v>
      </c>
      <c r="W217" s="2" t="s">
        <v>30</v>
      </c>
      <c r="X217" s="2" t="s">
        <v>30</v>
      </c>
    </row>
    <row r="218" spans="1:24">
      <c r="A218" s="3"/>
      <c r="B218" t="s">
        <v>489</v>
      </c>
      <c r="C218" s="23">
        <v>12083</v>
      </c>
      <c r="D218" s="1">
        <v>45779</v>
      </c>
      <c r="E218" s="1" t="str">
        <f>PROPER(TEXT(Tabela1[[#This Row],[Data]],"dddd"))</f>
        <v>Sexta-Feira</v>
      </c>
      <c r="F218" s="21">
        <v>0.9375</v>
      </c>
      <c r="G218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18" t="s">
        <v>449</v>
      </c>
      <c r="I218" s="2" t="s">
        <v>30</v>
      </c>
      <c r="J218" t="s">
        <v>24</v>
      </c>
      <c r="K218" t="s">
        <v>25</v>
      </c>
      <c r="L218" t="s">
        <v>26</v>
      </c>
      <c r="M218" t="s">
        <v>45</v>
      </c>
      <c r="N218" t="s">
        <v>28</v>
      </c>
      <c r="O218" s="2">
        <v>15</v>
      </c>
      <c r="P218" t="s">
        <v>87</v>
      </c>
      <c r="Q218" s="2">
        <v>0</v>
      </c>
      <c r="R218" s="2">
        <v>11</v>
      </c>
      <c r="S218" s="6">
        <f>Tabela1[[#This Row],[Experiência Anos]]+(Tabela1[[#This Row],[Experiência Meses]]/12)</f>
        <v>0.91666666666666663</v>
      </c>
      <c r="T218" s="2" t="s">
        <v>23</v>
      </c>
      <c r="U218" s="2" t="s">
        <v>23</v>
      </c>
      <c r="V218" s="2" t="s">
        <v>23</v>
      </c>
      <c r="W218" s="2" t="s">
        <v>30</v>
      </c>
      <c r="X218" s="2" t="s">
        <v>30</v>
      </c>
    </row>
    <row r="219" spans="1:24">
      <c r="A219" s="3"/>
      <c r="B219" t="s">
        <v>490</v>
      </c>
      <c r="C219" s="23">
        <v>11824</v>
      </c>
      <c r="D219" s="1">
        <v>45791</v>
      </c>
      <c r="E219" s="1" t="str">
        <f>PROPER(TEXT(Tabela1[[#This Row],[Data]],"dddd"))</f>
        <v>Quarta-Feira</v>
      </c>
      <c r="F219" s="21">
        <v>0.69791666666666663</v>
      </c>
      <c r="G219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19" t="s">
        <v>324</v>
      </c>
      <c r="I219" s="2" t="s">
        <v>23</v>
      </c>
      <c r="J219" t="s">
        <v>39</v>
      </c>
      <c r="K219" t="s">
        <v>40</v>
      </c>
      <c r="L219" t="s">
        <v>41</v>
      </c>
      <c r="M219" t="s">
        <v>45</v>
      </c>
      <c r="N219" t="s">
        <v>28</v>
      </c>
      <c r="O219" s="2">
        <v>3</v>
      </c>
      <c r="P219" t="s">
        <v>78</v>
      </c>
      <c r="Q219" s="2">
        <v>2</v>
      </c>
      <c r="R219" s="2">
        <v>0</v>
      </c>
      <c r="S219" s="6">
        <f>Tabela1[[#This Row],[Experiência Anos]]+(Tabela1[[#This Row],[Experiência Meses]]/12)</f>
        <v>2</v>
      </c>
      <c r="T219" s="2" t="s">
        <v>23</v>
      </c>
      <c r="U219" s="2" t="s">
        <v>30</v>
      </c>
      <c r="V219" s="2" t="s">
        <v>30</v>
      </c>
      <c r="W219" s="2" t="s">
        <v>23</v>
      </c>
      <c r="X219" s="2" t="s">
        <v>30</v>
      </c>
    </row>
    <row r="220" spans="1:24">
      <c r="A220" s="3"/>
      <c r="B220" t="s">
        <v>491</v>
      </c>
      <c r="C220" s="23">
        <v>11256</v>
      </c>
      <c r="D220" s="1">
        <v>45817</v>
      </c>
      <c r="E220" s="1" t="str">
        <f>PROPER(TEXT(Tabela1[[#This Row],[Data]],"dddd"))</f>
        <v>Segunda-Feira</v>
      </c>
      <c r="F220" s="21">
        <v>0.69027777777777777</v>
      </c>
      <c r="G220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20" t="s">
        <v>492</v>
      </c>
      <c r="I220" s="2" t="s">
        <v>23</v>
      </c>
      <c r="J220" t="s">
        <v>33</v>
      </c>
      <c r="K220" t="s">
        <v>34</v>
      </c>
      <c r="L220" t="s">
        <v>35</v>
      </c>
      <c r="M220" t="s">
        <v>493</v>
      </c>
      <c r="N220" t="s">
        <v>28</v>
      </c>
      <c r="O220" s="2">
        <v>6</v>
      </c>
      <c r="P220" t="s">
        <v>46</v>
      </c>
      <c r="Q220" s="2">
        <v>4</v>
      </c>
      <c r="R220" s="2">
        <v>0</v>
      </c>
      <c r="S220" s="6">
        <f>Tabela1[[#This Row],[Experiência Anos]]+(Tabela1[[#This Row],[Experiência Meses]]/12)</f>
        <v>4</v>
      </c>
      <c r="T220" s="2" t="s">
        <v>30</v>
      </c>
      <c r="U220" s="2" t="s">
        <v>23</v>
      </c>
      <c r="V220" s="2" t="s">
        <v>23</v>
      </c>
      <c r="W220" s="2" t="s">
        <v>30</v>
      </c>
      <c r="X220" s="2" t="s">
        <v>30</v>
      </c>
    </row>
    <row r="221" spans="1:24">
      <c r="A221" s="3"/>
      <c r="B221" t="s">
        <v>494</v>
      </c>
      <c r="C221" s="23">
        <v>11879</v>
      </c>
      <c r="D221" s="1">
        <v>45853</v>
      </c>
      <c r="E221" s="1" t="str">
        <f>PROPER(TEXT(Tabela1[[#This Row],[Data]],"dddd"))</f>
        <v>Terça-Feira</v>
      </c>
      <c r="F221" s="21">
        <v>0.66666666666666663</v>
      </c>
      <c r="G22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21" t="s">
        <v>495</v>
      </c>
      <c r="I221" s="2" t="s">
        <v>23</v>
      </c>
      <c r="J221" t="s">
        <v>49</v>
      </c>
      <c r="K221" t="s">
        <v>75</v>
      </c>
      <c r="L221" t="s">
        <v>76</v>
      </c>
      <c r="M221" t="s">
        <v>388</v>
      </c>
      <c r="N221" t="s">
        <v>28</v>
      </c>
      <c r="O221" s="2">
        <v>4</v>
      </c>
      <c r="P221" t="s">
        <v>29</v>
      </c>
      <c r="Q221" s="2">
        <v>2</v>
      </c>
      <c r="R221" s="2">
        <v>0</v>
      </c>
      <c r="S221" s="6">
        <f>Tabela1[[#This Row],[Experiência Anos]]+(Tabela1[[#This Row],[Experiência Meses]]/12)</f>
        <v>2</v>
      </c>
      <c r="T221" s="2" t="s">
        <v>23</v>
      </c>
      <c r="U221" s="2" t="s">
        <v>23</v>
      </c>
      <c r="V221" s="2" t="s">
        <v>23</v>
      </c>
      <c r="W221" s="2" t="s">
        <v>30</v>
      </c>
      <c r="X221" s="2" t="s">
        <v>30</v>
      </c>
    </row>
    <row r="222" spans="1:24">
      <c r="A222" s="3"/>
      <c r="B222" t="s">
        <v>496</v>
      </c>
      <c r="C222" s="23">
        <v>10715</v>
      </c>
      <c r="D222" s="1">
        <v>45856</v>
      </c>
      <c r="E222" s="1" t="str">
        <f>PROPER(TEXT(Tabela1[[#This Row],[Data]],"dddd"))</f>
        <v>Sexta-Feira</v>
      </c>
      <c r="F222" s="21">
        <v>0.26041666666666669</v>
      </c>
      <c r="G222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22" t="s">
        <v>497</v>
      </c>
      <c r="I222" s="2" t="s">
        <v>23</v>
      </c>
      <c r="J222" t="s">
        <v>33</v>
      </c>
      <c r="K222" t="s">
        <v>34</v>
      </c>
      <c r="L222" t="s">
        <v>35</v>
      </c>
      <c r="M222" t="s">
        <v>314</v>
      </c>
      <c r="N222" t="s">
        <v>28</v>
      </c>
      <c r="O222" s="2">
        <v>8</v>
      </c>
      <c r="P222" t="s">
        <v>29</v>
      </c>
      <c r="Q222" s="2">
        <v>5</v>
      </c>
      <c r="R222" s="2">
        <v>0</v>
      </c>
      <c r="S222" s="6">
        <f>Tabela1[[#This Row],[Experiência Anos]]+(Tabela1[[#This Row],[Experiência Meses]]/12)</f>
        <v>5</v>
      </c>
      <c r="T222" s="2" t="s">
        <v>23</v>
      </c>
      <c r="U222" s="2" t="s">
        <v>23</v>
      </c>
      <c r="V222" s="2" t="s">
        <v>23</v>
      </c>
      <c r="W222" s="2" t="s">
        <v>30</v>
      </c>
      <c r="X222" s="2" t="s">
        <v>30</v>
      </c>
    </row>
    <row r="223" spans="1:24">
      <c r="A223" s="3"/>
      <c r="B223" t="s">
        <v>498</v>
      </c>
      <c r="C223" s="23">
        <v>10563</v>
      </c>
      <c r="D223" s="1">
        <v>45871</v>
      </c>
      <c r="E223" s="1" t="str">
        <f>PROPER(TEXT(Tabela1[[#This Row],[Data]],"dddd"))</f>
        <v>Sábado</v>
      </c>
      <c r="F223" s="21">
        <v>0.5444444444444444</v>
      </c>
      <c r="G223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23" t="s">
        <v>244</v>
      </c>
      <c r="I223" s="2" t="s">
        <v>23</v>
      </c>
      <c r="J223" t="s">
        <v>39</v>
      </c>
      <c r="K223" t="s">
        <v>40</v>
      </c>
      <c r="L223" t="s">
        <v>41</v>
      </c>
      <c r="M223" t="s">
        <v>56</v>
      </c>
      <c r="N223" t="s">
        <v>28</v>
      </c>
      <c r="O223" s="2">
        <v>3</v>
      </c>
      <c r="P223" t="s">
        <v>87</v>
      </c>
      <c r="Q223" s="2">
        <v>6</v>
      </c>
      <c r="R223" s="2">
        <v>0</v>
      </c>
      <c r="S223" s="6">
        <f>Tabela1[[#This Row],[Experiência Anos]]+(Tabela1[[#This Row],[Experiência Meses]]/12)</f>
        <v>6</v>
      </c>
      <c r="T223" s="2" t="s">
        <v>23</v>
      </c>
      <c r="U223" s="2" t="s">
        <v>23</v>
      </c>
      <c r="V223" s="2" t="s">
        <v>23</v>
      </c>
      <c r="W223" s="2" t="s">
        <v>30</v>
      </c>
      <c r="X223" s="2" t="s">
        <v>30</v>
      </c>
    </row>
    <row r="224" spans="1:24">
      <c r="A224" s="3"/>
      <c r="B224" t="s">
        <v>499</v>
      </c>
      <c r="C224" s="23">
        <v>41931</v>
      </c>
      <c r="D224" s="1">
        <v>45873</v>
      </c>
      <c r="E224" s="1" t="str">
        <f>PROPER(TEXT(Tabela1[[#This Row],[Data]],"dddd"))</f>
        <v>Segunda-Feira</v>
      </c>
      <c r="F224" s="21">
        <v>0.5444444444444444</v>
      </c>
      <c r="G224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24" t="s">
        <v>500</v>
      </c>
      <c r="I224" s="2" t="s">
        <v>23</v>
      </c>
      <c r="J224" t="s">
        <v>39</v>
      </c>
      <c r="K224" t="s">
        <v>40</v>
      </c>
      <c r="L224" t="s">
        <v>41</v>
      </c>
      <c r="M224" t="s">
        <v>314</v>
      </c>
      <c r="N224" t="s">
        <v>101</v>
      </c>
      <c r="O224" s="2">
        <v>3</v>
      </c>
      <c r="P224" t="s">
        <v>87</v>
      </c>
      <c r="Q224" s="2">
        <v>0</v>
      </c>
      <c r="R224" s="2">
        <v>6</v>
      </c>
      <c r="S224" s="6">
        <f>Tabela1[[#This Row],[Experiência Anos]]+(Tabela1[[#This Row],[Experiência Meses]]/12)</f>
        <v>0.5</v>
      </c>
      <c r="T224" s="2" t="s">
        <v>23</v>
      </c>
      <c r="U224" s="2" t="s">
        <v>23</v>
      </c>
      <c r="V224" s="2" t="s">
        <v>23</v>
      </c>
      <c r="W224" s="2" t="s">
        <v>30</v>
      </c>
      <c r="X224" s="2" t="s">
        <v>30</v>
      </c>
    </row>
    <row r="225" spans="1:24">
      <c r="A225" s="3"/>
      <c r="B225" t="s">
        <v>501</v>
      </c>
      <c r="C225" s="23">
        <v>10991</v>
      </c>
      <c r="D225" s="1">
        <v>45884</v>
      </c>
      <c r="E225" s="1" t="str">
        <f>PROPER(TEXT(Tabela1[[#This Row],[Data]],"dddd"))</f>
        <v>Sexta-Feira</v>
      </c>
      <c r="F225" s="21">
        <v>0.75347222222222221</v>
      </c>
      <c r="G225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25" t="s">
        <v>502</v>
      </c>
      <c r="I225" s="2" t="s">
        <v>23</v>
      </c>
      <c r="J225" t="s">
        <v>49</v>
      </c>
      <c r="K225" t="s">
        <v>148</v>
      </c>
      <c r="L225" t="s">
        <v>149</v>
      </c>
      <c r="M225" t="s">
        <v>150</v>
      </c>
      <c r="N225" t="s">
        <v>28</v>
      </c>
      <c r="O225" s="2">
        <v>10</v>
      </c>
      <c r="P225" t="s">
        <v>29</v>
      </c>
      <c r="Q225" s="2">
        <v>4</v>
      </c>
      <c r="R225" s="2">
        <v>0</v>
      </c>
      <c r="S225" s="6">
        <f>Tabela1[[#This Row],[Experiência Anos]]+(Tabela1[[#This Row],[Experiência Meses]]/12)</f>
        <v>4</v>
      </c>
      <c r="T225" s="2" t="s">
        <v>23</v>
      </c>
      <c r="U225" s="2" t="s">
        <v>30</v>
      </c>
      <c r="V225" s="2" t="s">
        <v>23</v>
      </c>
      <c r="W225" s="2" t="s">
        <v>30</v>
      </c>
      <c r="X225" s="2" t="s">
        <v>30</v>
      </c>
    </row>
    <row r="226" spans="1:24">
      <c r="A226" s="3"/>
      <c r="B226" t="s">
        <v>503</v>
      </c>
      <c r="C226" s="23">
        <v>11974</v>
      </c>
      <c r="D226" s="1">
        <v>45889</v>
      </c>
      <c r="E226" s="1" t="str">
        <f>PROPER(TEXT(Tabela1[[#This Row],[Data]],"dddd"))</f>
        <v>Quarta-Feira</v>
      </c>
      <c r="F226" s="21">
        <v>0.45833333333333331</v>
      </c>
      <c r="G226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26" t="s">
        <v>504</v>
      </c>
      <c r="I226" s="2" t="s">
        <v>23</v>
      </c>
      <c r="J226" t="s">
        <v>49</v>
      </c>
      <c r="K226" t="s">
        <v>75</v>
      </c>
      <c r="L226" t="s">
        <v>76</v>
      </c>
      <c r="M226" t="s">
        <v>388</v>
      </c>
      <c r="N226" t="s">
        <v>28</v>
      </c>
      <c r="O226" s="2">
        <v>1</v>
      </c>
      <c r="P226" t="s">
        <v>206</v>
      </c>
      <c r="Q226" s="2">
        <v>1</v>
      </c>
      <c r="R226" s="2">
        <v>0</v>
      </c>
      <c r="S226" s="6">
        <f>Tabela1[[#This Row],[Experiência Anos]]+(Tabela1[[#This Row],[Experiência Meses]]/12)</f>
        <v>1</v>
      </c>
      <c r="T226" s="2" t="s">
        <v>23</v>
      </c>
      <c r="U226" s="2" t="s">
        <v>30</v>
      </c>
      <c r="V226" s="2" t="s">
        <v>23</v>
      </c>
      <c r="W226" s="2" t="s">
        <v>30</v>
      </c>
      <c r="X226" s="2" t="s">
        <v>30</v>
      </c>
    </row>
    <row r="227" spans="1:24">
      <c r="A227" s="3"/>
      <c r="B227" t="s">
        <v>505</v>
      </c>
      <c r="C227" s="23">
        <v>12083</v>
      </c>
      <c r="D227" s="1">
        <v>45895</v>
      </c>
      <c r="E227" s="1" t="str">
        <f>PROPER(TEXT(Tabela1[[#This Row],[Data]],"dddd"))</f>
        <v>Terça-Feira</v>
      </c>
      <c r="F227" s="21">
        <v>0.43819444444444444</v>
      </c>
      <c r="G22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27" t="s">
        <v>449</v>
      </c>
      <c r="I227" s="2" t="s">
        <v>23</v>
      </c>
      <c r="J227" t="s">
        <v>24</v>
      </c>
      <c r="K227" t="s">
        <v>25</v>
      </c>
      <c r="L227" t="s">
        <v>26</v>
      </c>
      <c r="M227" t="s">
        <v>45</v>
      </c>
      <c r="N227" t="s">
        <v>28</v>
      </c>
      <c r="O227" s="2">
        <v>2</v>
      </c>
      <c r="P227" t="s">
        <v>46</v>
      </c>
      <c r="Q227" s="2">
        <v>1</v>
      </c>
      <c r="R227" s="2">
        <v>0</v>
      </c>
      <c r="S227" s="6">
        <f>Tabela1[[#This Row],[Experiência Anos]]+(Tabela1[[#This Row],[Experiência Meses]]/12)</f>
        <v>1</v>
      </c>
      <c r="T227" s="2" t="s">
        <v>30</v>
      </c>
      <c r="U227" s="2" t="s">
        <v>23</v>
      </c>
      <c r="V227" s="2" t="s">
        <v>23</v>
      </c>
      <c r="W227" s="2" t="s">
        <v>30</v>
      </c>
      <c r="X227" s="2" t="s">
        <v>30</v>
      </c>
    </row>
    <row r="228" spans="1:24">
      <c r="A228" s="3"/>
      <c r="B228" t="s">
        <v>506</v>
      </c>
      <c r="C228" s="23">
        <v>11726</v>
      </c>
      <c r="D228" s="1">
        <v>45897</v>
      </c>
      <c r="E228" s="1" t="str">
        <f>PROPER(TEXT(Tabela1[[#This Row],[Data]],"dddd"))</f>
        <v>Quinta-Feira</v>
      </c>
      <c r="F228" s="21">
        <v>0.47916666666666669</v>
      </c>
      <c r="G228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28" t="s">
        <v>507</v>
      </c>
      <c r="I228" s="2" t="s">
        <v>23</v>
      </c>
      <c r="J228" t="s">
        <v>49</v>
      </c>
      <c r="K228" t="s">
        <v>508</v>
      </c>
      <c r="L228" t="s">
        <v>509</v>
      </c>
      <c r="M228" t="s">
        <v>45</v>
      </c>
      <c r="N228" t="s">
        <v>28</v>
      </c>
      <c r="O228" s="2">
        <v>2</v>
      </c>
      <c r="P228" t="s">
        <v>29</v>
      </c>
      <c r="Q228" s="2">
        <v>2</v>
      </c>
      <c r="R228" s="2">
        <v>0</v>
      </c>
      <c r="S228" s="6">
        <f>Tabela1[[#This Row],[Experiência Anos]]+(Tabela1[[#This Row],[Experiência Meses]]/12)</f>
        <v>2</v>
      </c>
      <c r="T228" s="2" t="s">
        <v>30</v>
      </c>
      <c r="U228" s="2" t="s">
        <v>23</v>
      </c>
      <c r="V228" s="2" t="s">
        <v>23</v>
      </c>
      <c r="W228" s="2" t="s">
        <v>30</v>
      </c>
      <c r="X228" s="2" t="s">
        <v>30</v>
      </c>
    </row>
    <row r="229" spans="1:24">
      <c r="A229" s="3"/>
      <c r="B229" t="s">
        <v>510</v>
      </c>
      <c r="C229" s="23">
        <v>11547</v>
      </c>
      <c r="D229" s="1">
        <v>45929</v>
      </c>
      <c r="E229" s="1" t="str">
        <f>PROPER(TEXT(Tabela1[[#This Row],[Data]],"dddd"))</f>
        <v>Segunda-Feira</v>
      </c>
      <c r="F229" s="21">
        <v>0.32430555555555557</v>
      </c>
      <c r="G229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29" t="s">
        <v>511</v>
      </c>
      <c r="I229" s="2" t="s">
        <v>23</v>
      </c>
      <c r="J229" t="s">
        <v>24</v>
      </c>
      <c r="K229" t="s">
        <v>166</v>
      </c>
      <c r="L229" t="s">
        <v>167</v>
      </c>
      <c r="M229" t="s">
        <v>388</v>
      </c>
      <c r="N229" t="s">
        <v>101</v>
      </c>
      <c r="O229" s="2">
        <v>10</v>
      </c>
      <c r="P229" t="s">
        <v>78</v>
      </c>
      <c r="Q229" s="2">
        <v>3</v>
      </c>
      <c r="R229" s="2">
        <v>0</v>
      </c>
      <c r="S229" s="6">
        <f>Tabela1[[#This Row],[Experiência Anos]]+(Tabela1[[#This Row],[Experiência Meses]]/12)</f>
        <v>3</v>
      </c>
      <c r="T229" s="2" t="s">
        <v>23</v>
      </c>
      <c r="U229" s="2" t="s">
        <v>23</v>
      </c>
      <c r="V229" s="2" t="s">
        <v>23</v>
      </c>
      <c r="W229" s="2" t="s">
        <v>30</v>
      </c>
      <c r="X229" s="2" t="s">
        <v>30</v>
      </c>
    </row>
    <row r="230" spans="1:24">
      <c r="A230" s="3"/>
      <c r="B230" t="s">
        <v>512</v>
      </c>
      <c r="C230" s="23">
        <v>8675</v>
      </c>
      <c r="D230" s="1">
        <v>45933</v>
      </c>
      <c r="E230" s="1" t="str">
        <f>PROPER(TEXT(Tabela1[[#This Row],[Data]],"dddd"))</f>
        <v>Sexta-Feira</v>
      </c>
      <c r="F230" s="21">
        <v>0.32430555555555557</v>
      </c>
      <c r="G230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30" t="s">
        <v>513</v>
      </c>
      <c r="I230" s="2" t="s">
        <v>23</v>
      </c>
      <c r="J230" t="s">
        <v>39</v>
      </c>
      <c r="K230" t="s">
        <v>40</v>
      </c>
      <c r="L230" t="s">
        <v>41</v>
      </c>
      <c r="M230" t="s">
        <v>65</v>
      </c>
      <c r="N230" t="s">
        <v>28</v>
      </c>
      <c r="O230" s="2">
        <v>10</v>
      </c>
      <c r="P230" t="s">
        <v>29</v>
      </c>
      <c r="Q230" s="2">
        <v>14</v>
      </c>
      <c r="R230" s="2">
        <v>0</v>
      </c>
      <c r="S230" s="6">
        <f>Tabela1[[#This Row],[Experiência Anos]]+(Tabela1[[#This Row],[Experiência Meses]]/12)</f>
        <v>14</v>
      </c>
      <c r="T230" s="2" t="s">
        <v>30</v>
      </c>
      <c r="U230" s="2" t="s">
        <v>23</v>
      </c>
      <c r="V230" s="2" t="s">
        <v>23</v>
      </c>
      <c r="W230" s="2" t="s">
        <v>30</v>
      </c>
      <c r="X230" s="2" t="s">
        <v>23</v>
      </c>
    </row>
    <row r="231" spans="1:24">
      <c r="A231" s="3"/>
      <c r="B231" t="s">
        <v>514</v>
      </c>
      <c r="C231" s="23">
        <v>9981</v>
      </c>
      <c r="D231" s="1">
        <v>45950</v>
      </c>
      <c r="E231" s="1" t="str">
        <f>PROPER(TEXT(Tabela1[[#This Row],[Data]],"dddd"))</f>
        <v>Segunda-Feira</v>
      </c>
      <c r="F231" s="21">
        <v>0.66666666666666663</v>
      </c>
      <c r="G23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31" t="s">
        <v>515</v>
      </c>
      <c r="I231" s="2" t="s">
        <v>30</v>
      </c>
      <c r="J231" t="s">
        <v>49</v>
      </c>
      <c r="K231" t="s">
        <v>50</v>
      </c>
      <c r="L231" t="s">
        <v>51</v>
      </c>
      <c r="M231" t="s">
        <v>56</v>
      </c>
      <c r="N231" t="s">
        <v>28</v>
      </c>
      <c r="O231" s="2">
        <v>15</v>
      </c>
      <c r="P231" t="s">
        <v>57</v>
      </c>
      <c r="Q231" s="2">
        <v>9</v>
      </c>
      <c r="R231" s="2">
        <v>0</v>
      </c>
      <c r="S231" s="6">
        <f>Tabela1[[#This Row],[Experiência Anos]]+(Tabela1[[#This Row],[Experiência Meses]]/12)</f>
        <v>9</v>
      </c>
      <c r="T231" s="2" t="s">
        <v>23</v>
      </c>
      <c r="U231" s="2" t="s">
        <v>23</v>
      </c>
      <c r="V231" s="2" t="s">
        <v>23</v>
      </c>
      <c r="W231" s="2" t="s">
        <v>30</v>
      </c>
      <c r="X231" s="2" t="s">
        <v>23</v>
      </c>
    </row>
    <row r="232" spans="1:24">
      <c r="A232" s="3"/>
      <c r="B232" t="s">
        <v>516</v>
      </c>
      <c r="C232" s="23">
        <v>12200</v>
      </c>
      <c r="D232" s="1">
        <v>45953</v>
      </c>
      <c r="E232" s="1" t="str">
        <f>PROPER(TEXT(Tabela1[[#This Row],[Data]],"dddd"))</f>
        <v>Quinta-Feira</v>
      </c>
      <c r="F232" s="21">
        <v>0.32430555555555557</v>
      </c>
      <c r="G232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32" t="s">
        <v>517</v>
      </c>
      <c r="I232" s="2" t="s">
        <v>23</v>
      </c>
      <c r="J232" t="s">
        <v>518</v>
      </c>
      <c r="K232" t="s">
        <v>50</v>
      </c>
      <c r="L232" t="s">
        <v>519</v>
      </c>
      <c r="M232" t="s">
        <v>388</v>
      </c>
      <c r="N232" t="s">
        <v>28</v>
      </c>
      <c r="O232" s="2">
        <v>15</v>
      </c>
      <c r="P232" t="s">
        <v>139</v>
      </c>
      <c r="Q232" s="2">
        <v>1</v>
      </c>
      <c r="R232" s="2">
        <v>0</v>
      </c>
      <c r="S232" s="6">
        <f>Tabela1[[#This Row],[Experiência Anos]]+(Tabela1[[#This Row],[Experiência Meses]]/12)</f>
        <v>1</v>
      </c>
      <c r="T232" s="2" t="s">
        <v>23</v>
      </c>
      <c r="U232" s="2" t="s">
        <v>23</v>
      </c>
      <c r="V232" s="2" t="s">
        <v>23</v>
      </c>
      <c r="W232" s="2" t="s">
        <v>23</v>
      </c>
      <c r="X232" s="2" t="s">
        <v>23</v>
      </c>
    </row>
    <row r="233" spans="1:24">
      <c r="A233" s="3"/>
      <c r="B233" t="s">
        <v>520</v>
      </c>
      <c r="C233" s="23">
        <v>11489</v>
      </c>
      <c r="D233" s="1">
        <v>45960</v>
      </c>
      <c r="E233" s="1" t="str">
        <f>PROPER(TEXT(Tabela1[[#This Row],[Data]],"dddd"))</f>
        <v>Quinta-Feira</v>
      </c>
      <c r="F233" s="21">
        <v>0.32430555555555557</v>
      </c>
      <c r="G23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33" t="s">
        <v>521</v>
      </c>
      <c r="I233" s="2" t="s">
        <v>23</v>
      </c>
      <c r="J233" t="s">
        <v>49</v>
      </c>
      <c r="K233" t="s">
        <v>148</v>
      </c>
      <c r="L233" t="s">
        <v>149</v>
      </c>
      <c r="M233" t="s">
        <v>522</v>
      </c>
      <c r="N233" t="s">
        <v>101</v>
      </c>
      <c r="O233" s="2">
        <v>5</v>
      </c>
      <c r="P233" t="s">
        <v>281</v>
      </c>
      <c r="Q233" s="2">
        <v>3</v>
      </c>
      <c r="R233" s="2">
        <v>0</v>
      </c>
      <c r="S233" s="6">
        <f>Tabela1[[#This Row],[Experiência Anos]]+(Tabela1[[#This Row],[Experiência Meses]]/12)</f>
        <v>3</v>
      </c>
      <c r="T233" s="2" t="s">
        <v>23</v>
      </c>
      <c r="U233" s="2" t="s">
        <v>23</v>
      </c>
      <c r="V233" s="2" t="s">
        <v>23</v>
      </c>
      <c r="W233" s="2" t="s">
        <v>30</v>
      </c>
      <c r="X233" s="2" t="s">
        <v>30</v>
      </c>
    </row>
    <row r="234" spans="1:24">
      <c r="A234" s="3"/>
      <c r="B234" t="s">
        <v>523</v>
      </c>
      <c r="C234" s="23">
        <v>11976</v>
      </c>
      <c r="D234" s="1">
        <v>45966</v>
      </c>
      <c r="E234" s="1" t="str">
        <f>PROPER(TEXT(Tabela1[[#This Row],[Data]],"dddd"))</f>
        <v>Quarta-Feira</v>
      </c>
      <c r="F234" s="21">
        <v>0.83333333333333337</v>
      </c>
      <c r="G234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34" t="s">
        <v>524</v>
      </c>
      <c r="I234" s="2" t="s">
        <v>23</v>
      </c>
      <c r="J234" t="s">
        <v>49</v>
      </c>
      <c r="K234" t="s">
        <v>50</v>
      </c>
      <c r="L234" t="s">
        <v>51</v>
      </c>
      <c r="M234" t="s">
        <v>56</v>
      </c>
      <c r="N234" t="s">
        <v>28</v>
      </c>
      <c r="O234" s="2">
        <v>2</v>
      </c>
      <c r="P234" t="s">
        <v>46</v>
      </c>
      <c r="Q234" s="2">
        <v>2</v>
      </c>
      <c r="R234" s="2">
        <v>0</v>
      </c>
      <c r="S234" s="6">
        <f>Tabela1[[#This Row],[Experiência Anos]]+(Tabela1[[#This Row],[Experiência Meses]]/12)</f>
        <v>2</v>
      </c>
      <c r="T234" s="2" t="s">
        <v>30</v>
      </c>
      <c r="U234" s="2" t="s">
        <v>30</v>
      </c>
      <c r="V234" s="2" t="s">
        <v>23</v>
      </c>
      <c r="W234" s="2" t="s">
        <v>30</v>
      </c>
      <c r="X234" s="2" t="s">
        <v>30</v>
      </c>
    </row>
    <row r="235" spans="1:24">
      <c r="A235" s="3"/>
      <c r="B235" t="s">
        <v>525</v>
      </c>
      <c r="C235" s="23">
        <v>9543</v>
      </c>
      <c r="D235" s="1">
        <v>45968</v>
      </c>
      <c r="E235" s="1" t="str">
        <f>PROPER(TEXT(Tabela1[[#This Row],[Data]],"dddd"))</f>
        <v>Sexta-Feira</v>
      </c>
      <c r="F235" s="21">
        <v>0.10416666666666667</v>
      </c>
      <c r="G235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235" t="s">
        <v>526</v>
      </c>
      <c r="I235" s="2" t="s">
        <v>23</v>
      </c>
      <c r="J235" t="s">
        <v>49</v>
      </c>
      <c r="K235" t="s">
        <v>527</v>
      </c>
      <c r="L235" t="s">
        <v>51</v>
      </c>
      <c r="M235" t="s">
        <v>56</v>
      </c>
      <c r="N235" t="s">
        <v>28</v>
      </c>
      <c r="O235" s="2">
        <v>2</v>
      </c>
      <c r="P235" t="s">
        <v>139</v>
      </c>
      <c r="Q235" s="2">
        <v>11</v>
      </c>
      <c r="R235" s="2">
        <v>0</v>
      </c>
      <c r="S235" s="6">
        <f>Tabela1[[#This Row],[Experiência Anos]]+(Tabela1[[#This Row],[Experiência Meses]]/12)</f>
        <v>11</v>
      </c>
      <c r="T235" s="2" t="s">
        <v>23</v>
      </c>
      <c r="U235" s="2" t="s">
        <v>23</v>
      </c>
      <c r="V235" s="2" t="s">
        <v>23</v>
      </c>
      <c r="W235" s="2" t="s">
        <v>23</v>
      </c>
      <c r="X235" s="2" t="s">
        <v>23</v>
      </c>
    </row>
    <row r="236" spans="1:24">
      <c r="A236" s="3"/>
      <c r="B236" t="s">
        <v>528</v>
      </c>
      <c r="C236" s="23">
        <v>10313</v>
      </c>
      <c r="D236" s="1">
        <v>45969</v>
      </c>
      <c r="E236" s="1" t="str">
        <f>PROPER(TEXT(Tabela1[[#This Row],[Data]],"dddd"))</f>
        <v>Sábado</v>
      </c>
      <c r="F236" s="21">
        <v>0.27777777777777779</v>
      </c>
      <c r="G236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36" t="s">
        <v>529</v>
      </c>
      <c r="I236" s="2" t="s">
        <v>23</v>
      </c>
      <c r="J236" t="s">
        <v>49</v>
      </c>
      <c r="K236" t="s">
        <v>530</v>
      </c>
      <c r="L236" t="s">
        <v>51</v>
      </c>
      <c r="M236" t="s">
        <v>56</v>
      </c>
      <c r="N236" t="s">
        <v>28</v>
      </c>
      <c r="O236" s="2">
        <v>7</v>
      </c>
      <c r="P236" t="s">
        <v>281</v>
      </c>
      <c r="Q236" s="2">
        <v>8</v>
      </c>
      <c r="R236" s="2">
        <v>0</v>
      </c>
      <c r="S236" s="6">
        <f>Tabela1[[#This Row],[Experiência Anos]]+(Tabela1[[#This Row],[Experiência Meses]]/12)</f>
        <v>8</v>
      </c>
      <c r="T236" s="2" t="s">
        <v>23</v>
      </c>
      <c r="U236" s="2" t="s">
        <v>23</v>
      </c>
      <c r="V236" s="2" t="s">
        <v>23</v>
      </c>
      <c r="W236" s="2" t="s">
        <v>23</v>
      </c>
      <c r="X236" s="2" t="s">
        <v>23</v>
      </c>
    </row>
    <row r="237" spans="1:24">
      <c r="A237" s="3"/>
      <c r="B237" t="s">
        <v>531</v>
      </c>
      <c r="C237" s="23">
        <v>12309</v>
      </c>
      <c r="D237" s="1">
        <v>45971</v>
      </c>
      <c r="E237" s="1" t="str">
        <f>PROPER(TEXT(Tabela1[[#This Row],[Data]],"dddd"))</f>
        <v>Segunda-Feira</v>
      </c>
      <c r="F237" s="21">
        <v>0.35416666666666669</v>
      </c>
      <c r="G23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37" t="s">
        <v>532</v>
      </c>
      <c r="I237" s="2" t="s">
        <v>23</v>
      </c>
      <c r="J237" t="s">
        <v>24</v>
      </c>
      <c r="K237" t="s">
        <v>25</v>
      </c>
      <c r="L237" t="s">
        <v>26</v>
      </c>
      <c r="M237" t="s">
        <v>45</v>
      </c>
      <c r="N237" t="s">
        <v>28</v>
      </c>
      <c r="O237" s="2">
        <v>4</v>
      </c>
      <c r="P237" t="s">
        <v>29</v>
      </c>
      <c r="Q237" s="2">
        <v>1</v>
      </c>
      <c r="R237" s="2">
        <v>0</v>
      </c>
      <c r="S237" s="6">
        <f>Tabela1[[#This Row],[Experiência Anos]]+(Tabela1[[#This Row],[Experiência Meses]]/12)</f>
        <v>1</v>
      </c>
      <c r="T237" s="2" t="s">
        <v>30</v>
      </c>
      <c r="U237" s="2" t="s">
        <v>23</v>
      </c>
      <c r="V237" s="2" t="s">
        <v>23</v>
      </c>
      <c r="W237" s="2" t="s">
        <v>30</v>
      </c>
      <c r="X237" s="2" t="s">
        <v>23</v>
      </c>
    </row>
    <row r="238" spans="1:24">
      <c r="A238" s="3"/>
      <c r="B238" t="s">
        <v>533</v>
      </c>
      <c r="C238" s="23">
        <v>12476</v>
      </c>
      <c r="D238" s="1">
        <v>45990</v>
      </c>
      <c r="E238" s="1" t="str">
        <f>PROPER(TEXT(Tabela1[[#This Row],[Data]],"dddd"))</f>
        <v>Sábado</v>
      </c>
      <c r="F238" s="21">
        <v>0.5625</v>
      </c>
      <c r="G23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38" t="s">
        <v>534</v>
      </c>
      <c r="I238" s="2" t="s">
        <v>23</v>
      </c>
      <c r="J238" t="s">
        <v>49</v>
      </c>
      <c r="K238" t="s">
        <v>50</v>
      </c>
      <c r="L238" t="s">
        <v>51</v>
      </c>
      <c r="M238" t="s">
        <v>45</v>
      </c>
      <c r="N238" t="s">
        <v>28</v>
      </c>
      <c r="O238" s="2">
        <v>7</v>
      </c>
      <c r="P238" t="s">
        <v>29</v>
      </c>
      <c r="Q238" s="2">
        <v>0</v>
      </c>
      <c r="R238" s="2">
        <v>2</v>
      </c>
      <c r="S238" s="6">
        <f>Tabela1[[#This Row],[Experiência Anos]]+(Tabela1[[#This Row],[Experiência Meses]]/12)</f>
        <v>0.16666666666666666</v>
      </c>
      <c r="T238" s="2" t="s">
        <v>30</v>
      </c>
      <c r="U238" s="2" t="s">
        <v>23</v>
      </c>
      <c r="V238" s="2" t="s">
        <v>23</v>
      </c>
      <c r="W238" s="2" t="s">
        <v>30</v>
      </c>
      <c r="X238" s="2" t="s">
        <v>30</v>
      </c>
    </row>
    <row r="239" spans="1:24">
      <c r="A239" s="3"/>
      <c r="B239" t="s">
        <v>535</v>
      </c>
      <c r="C239" s="23">
        <v>11709</v>
      </c>
      <c r="D239" s="1">
        <v>45993</v>
      </c>
      <c r="E239" s="1" t="str">
        <f>PROPER(TEXT(Tabela1[[#This Row],[Data]],"dddd"))</f>
        <v>Terça-Feira</v>
      </c>
      <c r="F239" s="21">
        <v>0.39583333333333331</v>
      </c>
      <c r="G239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39" t="s">
        <v>536</v>
      </c>
      <c r="I239" s="2" t="s">
        <v>23</v>
      </c>
      <c r="J239" t="s">
        <v>537</v>
      </c>
      <c r="K239" t="s">
        <v>50</v>
      </c>
      <c r="L239" t="s">
        <v>519</v>
      </c>
      <c r="M239" t="s">
        <v>27</v>
      </c>
      <c r="N239" t="s">
        <v>28</v>
      </c>
      <c r="O239" s="2">
        <v>14</v>
      </c>
      <c r="P239" t="s">
        <v>29</v>
      </c>
      <c r="Q239" s="2">
        <v>2</v>
      </c>
      <c r="R239" s="2">
        <v>10</v>
      </c>
      <c r="S239" s="6">
        <f>Tabela1[[#This Row],[Experiência Anos]]+(Tabela1[[#This Row],[Experiência Meses]]/12)</f>
        <v>2.8333333333333335</v>
      </c>
      <c r="T239" s="2" t="s">
        <v>30</v>
      </c>
      <c r="U239" s="2" t="s">
        <v>30</v>
      </c>
      <c r="V239" s="2" t="s">
        <v>23</v>
      </c>
      <c r="W239" s="2" t="s">
        <v>23</v>
      </c>
      <c r="X239" s="2" t="s">
        <v>23</v>
      </c>
    </row>
    <row r="240" spans="1:24">
      <c r="A240" s="3"/>
      <c r="B240" t="s">
        <v>538</v>
      </c>
      <c r="C240" s="23">
        <v>11976</v>
      </c>
      <c r="D240" s="1">
        <v>45994</v>
      </c>
      <c r="E240" s="1" t="str">
        <f>PROPER(TEXT(Tabela1[[#This Row],[Data]],"dddd"))</f>
        <v>Quarta-Feira</v>
      </c>
      <c r="F240" s="21">
        <v>0.7416666666666667</v>
      </c>
      <c r="G240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40" t="s">
        <v>524</v>
      </c>
      <c r="I240" s="2" t="s">
        <v>30</v>
      </c>
      <c r="J240" t="s">
        <v>49</v>
      </c>
      <c r="K240" t="s">
        <v>50</v>
      </c>
      <c r="L240" t="s">
        <v>51</v>
      </c>
      <c r="M240" t="s">
        <v>56</v>
      </c>
      <c r="N240" t="s">
        <v>28</v>
      </c>
      <c r="O240" s="2">
        <v>15</v>
      </c>
      <c r="P240" t="s">
        <v>87</v>
      </c>
      <c r="Q240" s="2">
        <v>1</v>
      </c>
      <c r="R240" s="2">
        <v>10</v>
      </c>
      <c r="S240" s="6">
        <f>Tabela1[[#This Row],[Experiência Anos]]+(Tabela1[[#This Row],[Experiência Meses]]/12)</f>
        <v>1.8333333333333335</v>
      </c>
      <c r="T240" s="2" t="s">
        <v>30</v>
      </c>
      <c r="U240" s="2" t="s">
        <v>23</v>
      </c>
      <c r="V240" s="2" t="s">
        <v>23</v>
      </c>
      <c r="W240" s="2" t="s">
        <v>30</v>
      </c>
      <c r="X240" s="2" t="s">
        <v>30</v>
      </c>
    </row>
    <row r="241" spans="1:24">
      <c r="A241" s="3"/>
      <c r="B241" t="s">
        <v>539</v>
      </c>
      <c r="C241" s="23">
        <v>10465</v>
      </c>
      <c r="D241" s="1">
        <v>45995</v>
      </c>
      <c r="E241" s="1" t="str">
        <f>PROPER(TEXT(Tabela1[[#This Row],[Data]],"dddd"))</f>
        <v>Quinta-Feira</v>
      </c>
      <c r="F241" s="21">
        <v>0.66666666666666663</v>
      </c>
      <c r="G24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41" t="s">
        <v>107</v>
      </c>
      <c r="I241" s="2" t="s">
        <v>23</v>
      </c>
      <c r="J241" t="s">
        <v>39</v>
      </c>
      <c r="K241" t="s">
        <v>40</v>
      </c>
      <c r="L241" t="s">
        <v>41</v>
      </c>
      <c r="M241" t="s">
        <v>108</v>
      </c>
      <c r="N241" t="s">
        <v>28</v>
      </c>
      <c r="O241" s="2">
        <v>7</v>
      </c>
      <c r="P241" t="s">
        <v>29</v>
      </c>
      <c r="Q241" s="2">
        <v>7</v>
      </c>
      <c r="R241" s="2">
        <v>0</v>
      </c>
      <c r="S241" s="6">
        <f>Tabela1[[#This Row],[Experiência Anos]]+(Tabela1[[#This Row],[Experiência Meses]]/12)</f>
        <v>7</v>
      </c>
      <c r="T241" s="2" t="s">
        <v>23</v>
      </c>
      <c r="U241" s="2" t="s">
        <v>23</v>
      </c>
      <c r="V241" s="2" t="s">
        <v>23</v>
      </c>
      <c r="W241" s="2" t="s">
        <v>30</v>
      </c>
      <c r="X241" s="2" t="s">
        <v>30</v>
      </c>
    </row>
    <row r="242" spans="1:24">
      <c r="A242" s="3"/>
      <c r="B242" t="s">
        <v>540</v>
      </c>
      <c r="C242" s="23">
        <v>10708</v>
      </c>
      <c r="D242" s="1">
        <v>45995</v>
      </c>
      <c r="E242" s="1" t="str">
        <f>PROPER(TEXT(Tabela1[[#This Row],[Data]],"dddd"))</f>
        <v>Quinta-Feira</v>
      </c>
      <c r="F242" s="21">
        <v>0.33333333333333331</v>
      </c>
      <c r="G242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42" t="s">
        <v>541</v>
      </c>
      <c r="I242" s="2" t="s">
        <v>23</v>
      </c>
      <c r="J242" t="s">
        <v>39</v>
      </c>
      <c r="K242" t="s">
        <v>40</v>
      </c>
      <c r="L242" t="s">
        <v>41</v>
      </c>
      <c r="M242" t="s">
        <v>314</v>
      </c>
      <c r="N242" t="s">
        <v>28</v>
      </c>
      <c r="O242" s="2">
        <v>2</v>
      </c>
      <c r="P242" t="s">
        <v>84</v>
      </c>
      <c r="Q242" s="2">
        <v>3</v>
      </c>
      <c r="R242" s="2">
        <v>0</v>
      </c>
      <c r="S242" s="6">
        <f>Tabela1[[#This Row],[Experiência Anos]]+(Tabela1[[#This Row],[Experiência Meses]]/12)</f>
        <v>3</v>
      </c>
      <c r="T242" s="2" t="s">
        <v>23</v>
      </c>
      <c r="U242" s="2" t="s">
        <v>23</v>
      </c>
      <c r="V242" s="2" t="s">
        <v>23</v>
      </c>
      <c r="W242" s="2" t="s">
        <v>30</v>
      </c>
      <c r="X242" s="2" t="s">
        <v>30</v>
      </c>
    </row>
    <row r="243" spans="1:24">
      <c r="A243" s="3"/>
      <c r="B243" t="s">
        <v>542</v>
      </c>
      <c r="C243" s="23">
        <v>11619</v>
      </c>
      <c r="D243" s="1">
        <v>46006</v>
      </c>
      <c r="E243" s="1" t="str">
        <f>PROPER(TEXT(Tabela1[[#This Row],[Data]],"dddd"))</f>
        <v>Segunda-Feira</v>
      </c>
      <c r="F243" s="21">
        <v>0.41666666666666669</v>
      </c>
      <c r="G24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43" t="s">
        <v>543</v>
      </c>
      <c r="I243" s="2" t="s">
        <v>23</v>
      </c>
      <c r="J243" t="s">
        <v>24</v>
      </c>
      <c r="K243" t="s">
        <v>25</v>
      </c>
      <c r="L243" t="s">
        <v>26</v>
      </c>
      <c r="M243" t="s">
        <v>45</v>
      </c>
      <c r="N243" t="s">
        <v>28</v>
      </c>
      <c r="O243" s="2">
        <v>5</v>
      </c>
      <c r="P243" t="s">
        <v>29</v>
      </c>
      <c r="Q243" s="2">
        <v>3</v>
      </c>
      <c r="R243" s="2">
        <v>0</v>
      </c>
      <c r="S243" s="6">
        <f>Tabela1[[#This Row],[Experiência Anos]]+(Tabela1[[#This Row],[Experiência Meses]]/12)</f>
        <v>3</v>
      </c>
      <c r="T243" s="2" t="s">
        <v>23</v>
      </c>
      <c r="U243" s="2" t="s">
        <v>30</v>
      </c>
      <c r="V243" s="2" t="s">
        <v>23</v>
      </c>
      <c r="W243" s="2" t="s">
        <v>23</v>
      </c>
      <c r="X243" s="2" t="s">
        <v>30</v>
      </c>
    </row>
    <row r="244" spans="1:24">
      <c r="A244" s="3"/>
      <c r="B244" t="s">
        <v>544</v>
      </c>
      <c r="C244" s="23">
        <v>11693</v>
      </c>
      <c r="D244" s="1">
        <v>46010</v>
      </c>
      <c r="E244" s="1" t="str">
        <f>PROPER(TEXT(Tabela1[[#This Row],[Data]],"dddd"))</f>
        <v>Sexta-Feira</v>
      </c>
      <c r="F244" s="21">
        <v>0.77083333333333337</v>
      </c>
      <c r="G244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44" t="s">
        <v>462</v>
      </c>
      <c r="I244" s="2" t="s">
        <v>30</v>
      </c>
      <c r="J244" t="s">
        <v>24</v>
      </c>
      <c r="K244" t="s">
        <v>25</v>
      </c>
      <c r="L244" t="s">
        <v>26</v>
      </c>
      <c r="M244" t="s">
        <v>56</v>
      </c>
      <c r="N244" t="s">
        <v>101</v>
      </c>
      <c r="O244" s="2">
        <v>19</v>
      </c>
      <c r="P244" t="s">
        <v>29</v>
      </c>
      <c r="Q244" s="2">
        <v>2</v>
      </c>
      <c r="R244" s="2">
        <v>0</v>
      </c>
      <c r="S244" s="6">
        <f>Tabela1[[#This Row],[Experiência Anos]]+(Tabela1[[#This Row],[Experiência Meses]]/12)</f>
        <v>2</v>
      </c>
      <c r="T244" s="2" t="s">
        <v>23</v>
      </c>
      <c r="U244" s="2" t="s">
        <v>23</v>
      </c>
      <c r="V244" s="2" t="s">
        <v>23</v>
      </c>
      <c r="W244" s="2" t="s">
        <v>30</v>
      </c>
      <c r="X244" s="2" t="s">
        <v>30</v>
      </c>
    </row>
    <row r="245" spans="1:24">
      <c r="A245" s="10" t="s">
        <v>545</v>
      </c>
      <c r="B245" t="s">
        <v>546</v>
      </c>
      <c r="C245" s="23">
        <v>12423</v>
      </c>
      <c r="D245" s="1">
        <v>46028</v>
      </c>
      <c r="E245" s="1" t="str">
        <f>PROPER(TEXT(Tabela1[[#This Row],[Data]],"dddd"))</f>
        <v>Terça-Feira</v>
      </c>
      <c r="F245" s="21">
        <v>0.66666666666666663</v>
      </c>
      <c r="G245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45" t="s">
        <v>547</v>
      </c>
      <c r="I245" s="2" t="s">
        <v>30</v>
      </c>
      <c r="J245" t="s">
        <v>518</v>
      </c>
      <c r="K245" t="s">
        <v>50</v>
      </c>
      <c r="L245" t="s">
        <v>519</v>
      </c>
      <c r="M245" t="s">
        <v>548</v>
      </c>
      <c r="N245" t="s">
        <v>28</v>
      </c>
      <c r="O245" s="2">
        <v>14</v>
      </c>
      <c r="P245" t="s">
        <v>29</v>
      </c>
      <c r="Q245" s="2">
        <v>0</v>
      </c>
      <c r="R245" s="2">
        <v>6</v>
      </c>
      <c r="S245" s="11">
        <f>Tabela1[[#This Row],[Experiência Anos]]+(Tabela1[[#This Row],[Experiência Meses]]/12)</f>
        <v>0.5</v>
      </c>
      <c r="T245" s="12" t="s">
        <v>30</v>
      </c>
      <c r="U245" s="12" t="s">
        <v>30</v>
      </c>
      <c r="V245" s="12" t="s">
        <v>30</v>
      </c>
      <c r="W245" s="12" t="s">
        <v>30</v>
      </c>
      <c r="X245" s="12" t="s">
        <v>30</v>
      </c>
    </row>
    <row r="246" spans="1:24">
      <c r="A246" s="10" t="s">
        <v>549</v>
      </c>
      <c r="B246" t="s">
        <v>550</v>
      </c>
      <c r="C246" s="23">
        <v>12285</v>
      </c>
      <c r="D246" s="1">
        <v>46029</v>
      </c>
      <c r="E246" s="1" t="str">
        <f>PROPER(TEXT(Tabela1[[#This Row],[Data]],"dddd"))</f>
        <v>Quarta-Feira</v>
      </c>
      <c r="F246" s="21">
        <v>0.64513888888888893</v>
      </c>
      <c r="G24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46" t="s">
        <v>551</v>
      </c>
      <c r="I246" s="2" t="s">
        <v>23</v>
      </c>
      <c r="J246" t="s">
        <v>49</v>
      </c>
      <c r="K246" t="s">
        <v>50</v>
      </c>
      <c r="L246" t="s">
        <v>51</v>
      </c>
      <c r="M246" t="s">
        <v>27</v>
      </c>
      <c r="N246" t="s">
        <v>28</v>
      </c>
      <c r="O246" s="2">
        <v>15</v>
      </c>
      <c r="P246" t="s">
        <v>29</v>
      </c>
      <c r="Q246" s="2">
        <v>0</v>
      </c>
      <c r="R246" s="2">
        <v>11</v>
      </c>
      <c r="S246" s="11">
        <f>Tabela1[[#This Row],[Experiência Anos]]+(Tabela1[[#This Row],[Experiência Meses]]/12)</f>
        <v>0.91666666666666663</v>
      </c>
      <c r="T246" s="12" t="s">
        <v>23</v>
      </c>
      <c r="U246" s="12" t="s">
        <v>30</v>
      </c>
      <c r="V246" s="12" t="s">
        <v>23</v>
      </c>
      <c r="W246" s="12" t="s">
        <v>30</v>
      </c>
      <c r="X246" s="12" t="s">
        <v>30</v>
      </c>
    </row>
    <row r="247" spans="1:24">
      <c r="A247" s="10" t="s">
        <v>552</v>
      </c>
      <c r="B247" t="s">
        <v>553</v>
      </c>
      <c r="C247" s="23">
        <v>10870</v>
      </c>
      <c r="D247" s="1">
        <v>46031</v>
      </c>
      <c r="E247" s="1" t="str">
        <f>PROPER(TEXT(Tabela1[[#This Row],[Data]],"dddd"))</f>
        <v>Sexta-Feira</v>
      </c>
      <c r="F247" s="21">
        <v>0.66805555555555551</v>
      </c>
      <c r="G247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47" t="s">
        <v>581</v>
      </c>
      <c r="I247" s="2" t="s">
        <v>23</v>
      </c>
      <c r="J247" t="s">
        <v>49</v>
      </c>
      <c r="K247" t="s">
        <v>50</v>
      </c>
      <c r="L247" t="s">
        <v>51</v>
      </c>
      <c r="M247" t="s">
        <v>56</v>
      </c>
      <c r="N247" t="s">
        <v>28</v>
      </c>
      <c r="O247" s="2">
        <v>4</v>
      </c>
      <c r="P247" t="s">
        <v>87</v>
      </c>
      <c r="Q247" s="2">
        <v>5</v>
      </c>
      <c r="R247" s="2">
        <v>5</v>
      </c>
      <c r="S247" s="11">
        <f>Tabela1[[#This Row],[Experiência Anos]]+(Tabela1[[#This Row],[Experiência Meses]]/12)</f>
        <v>5.416666666666667</v>
      </c>
      <c r="T247" s="12" t="s">
        <v>30</v>
      </c>
      <c r="U247" s="12" t="s">
        <v>30</v>
      </c>
      <c r="V247" s="12" t="s">
        <v>23</v>
      </c>
      <c r="W247" s="12" t="s">
        <v>30</v>
      </c>
      <c r="X247" s="12" t="s">
        <v>30</v>
      </c>
    </row>
    <row r="248" spans="1:24">
      <c r="A248" s="10" t="s">
        <v>554</v>
      </c>
      <c r="B248" t="s">
        <v>555</v>
      </c>
      <c r="C248" s="23">
        <v>12410</v>
      </c>
      <c r="D248" s="1">
        <v>46049</v>
      </c>
      <c r="E248" s="1" t="str">
        <f>PROPER(TEXT(Tabela1[[#This Row],[Data]],"dddd"))</f>
        <v>Terça-Feira</v>
      </c>
      <c r="F248" s="21">
        <v>0.7270833333333333</v>
      </c>
      <c r="G24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48" t="s">
        <v>556</v>
      </c>
      <c r="I248" s="2" t="s">
        <v>23</v>
      </c>
      <c r="J248" t="s">
        <v>24</v>
      </c>
      <c r="K248" t="s">
        <v>25</v>
      </c>
      <c r="L248" t="s">
        <v>26</v>
      </c>
      <c r="M248" t="s">
        <v>45</v>
      </c>
      <c r="N248" t="s">
        <v>28</v>
      </c>
      <c r="O248" s="2">
        <v>5</v>
      </c>
      <c r="P248" t="s">
        <v>46</v>
      </c>
      <c r="Q248" s="2">
        <v>0</v>
      </c>
      <c r="R248" s="2">
        <v>7</v>
      </c>
      <c r="S248" s="11">
        <f>Tabela1[[#This Row],[Experiência Anos]]+(Tabela1[[#This Row],[Experiência Meses]]/12)</f>
        <v>0.58333333333333337</v>
      </c>
      <c r="T248" s="12" t="s">
        <v>30</v>
      </c>
      <c r="U248" s="12" t="s">
        <v>30</v>
      </c>
      <c r="V248" s="12" t="s">
        <v>23</v>
      </c>
      <c r="W248" s="12" t="s">
        <v>30</v>
      </c>
      <c r="X248" s="12" t="s">
        <v>30</v>
      </c>
    </row>
    <row r="249" spans="1:24">
      <c r="A249" s="10" t="s">
        <v>573</v>
      </c>
      <c r="B249" t="s">
        <v>557</v>
      </c>
      <c r="C249" s="23">
        <v>12238</v>
      </c>
      <c r="D249" s="1">
        <v>46065</v>
      </c>
      <c r="E249" s="1" t="str">
        <f>PROPER(TEXT(Tabela1[[#This Row],[Data]],"dddd"))</f>
        <v>Quinta-Feira</v>
      </c>
      <c r="F249" s="21">
        <v>0.8125</v>
      </c>
      <c r="G249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49" t="s">
        <v>572</v>
      </c>
      <c r="I249" s="2" t="s">
        <v>23</v>
      </c>
      <c r="J249" t="s">
        <v>33</v>
      </c>
      <c r="K249" t="s">
        <v>34</v>
      </c>
      <c r="L249" t="s">
        <v>35</v>
      </c>
      <c r="M249" t="s">
        <v>45</v>
      </c>
      <c r="N249" t="s">
        <v>28</v>
      </c>
      <c r="O249" s="2">
        <v>6</v>
      </c>
      <c r="P249" t="s">
        <v>46</v>
      </c>
      <c r="Q249" s="2">
        <v>1</v>
      </c>
      <c r="R249" s="2">
        <v>2</v>
      </c>
      <c r="S249" s="11">
        <f>Tabela1[[#This Row],[Experiência Anos]]+(Tabela1[[#This Row],[Experiência Meses]]/12)</f>
        <v>1.1666666666666667</v>
      </c>
      <c r="T249" s="12" t="s">
        <v>30</v>
      </c>
      <c r="U249" s="12" t="s">
        <v>30</v>
      </c>
      <c r="V249" s="12" t="s">
        <v>23</v>
      </c>
      <c r="W249" s="12" t="s">
        <v>30</v>
      </c>
      <c r="X249" s="12" t="s">
        <v>30</v>
      </c>
    </row>
    <row r="250" spans="1:24">
      <c r="A250" s="10" t="s">
        <v>574</v>
      </c>
      <c r="B250" t="s">
        <v>558</v>
      </c>
      <c r="C250" s="23">
        <v>11113</v>
      </c>
      <c r="D250" s="1">
        <v>46071</v>
      </c>
      <c r="E250" s="1" t="str">
        <f>PROPER(TEXT(Tabela1[[#This Row],[Data]],"dddd"))</f>
        <v>Quarta-Feira</v>
      </c>
      <c r="F250" s="21">
        <v>0.91666666666666663</v>
      </c>
      <c r="G250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50" t="s">
        <v>559</v>
      </c>
      <c r="I250" s="2" t="s">
        <v>23</v>
      </c>
      <c r="J250" t="s">
        <v>24</v>
      </c>
      <c r="K250" t="s">
        <v>25</v>
      </c>
      <c r="L250" t="s">
        <v>26</v>
      </c>
      <c r="M250" t="s">
        <v>45</v>
      </c>
      <c r="N250" t="s">
        <v>28</v>
      </c>
      <c r="O250" s="2">
        <v>15</v>
      </c>
      <c r="P250" t="s">
        <v>78</v>
      </c>
      <c r="Q250" s="2">
        <v>5</v>
      </c>
      <c r="R250" s="2">
        <v>9</v>
      </c>
      <c r="S250" s="11">
        <f>Tabela1[[#This Row],[Experiência Anos]]+(Tabela1[[#This Row],[Experiência Meses]]/12)</f>
        <v>5.75</v>
      </c>
      <c r="T250" s="12" t="s">
        <v>23</v>
      </c>
      <c r="U250" s="12" t="s">
        <v>30</v>
      </c>
      <c r="V250" s="12" t="s">
        <v>30</v>
      </c>
      <c r="W250" s="12" t="s">
        <v>23</v>
      </c>
      <c r="X250" s="12" t="s">
        <v>30</v>
      </c>
    </row>
    <row r="251" spans="1:24">
      <c r="A251" s="10" t="s">
        <v>584</v>
      </c>
      <c r="B251" t="s">
        <v>560</v>
      </c>
      <c r="C251" s="23">
        <v>10910</v>
      </c>
      <c r="D251" s="1">
        <v>46071</v>
      </c>
      <c r="E251" s="1" t="str">
        <f>PROPER(TEXT(Tabela1[[#This Row],[Data]],"dddd"))</f>
        <v>Quarta-Feira</v>
      </c>
      <c r="F251" s="21">
        <v>0.66666666666666663</v>
      </c>
      <c r="G251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51" t="s">
        <v>561</v>
      </c>
      <c r="I251" s="2" t="s">
        <v>23</v>
      </c>
      <c r="J251" t="s">
        <v>49</v>
      </c>
      <c r="K251" t="s">
        <v>50</v>
      </c>
      <c r="L251" t="s">
        <v>51</v>
      </c>
      <c r="M251" t="s">
        <v>56</v>
      </c>
      <c r="N251" t="s">
        <v>28</v>
      </c>
      <c r="O251" s="2">
        <v>3</v>
      </c>
      <c r="P251" t="s">
        <v>46</v>
      </c>
      <c r="Q251" s="2">
        <v>5</v>
      </c>
      <c r="R251" s="2">
        <v>3</v>
      </c>
      <c r="S251" s="11">
        <f>Tabela1[[#This Row],[Experiência Anos]]+(Tabela1[[#This Row],[Experiência Meses]]/12)</f>
        <v>5.25</v>
      </c>
      <c r="T251" s="12" t="s">
        <v>30</v>
      </c>
      <c r="U251" s="12" t="s">
        <v>30</v>
      </c>
      <c r="V251" s="12" t="s">
        <v>23</v>
      </c>
      <c r="W251" s="12" t="s">
        <v>30</v>
      </c>
      <c r="X251" s="12" t="s">
        <v>30</v>
      </c>
    </row>
    <row r="252" spans="1:24">
      <c r="A252" s="5" t="s">
        <v>575</v>
      </c>
      <c r="B252" s="7" t="s">
        <v>562</v>
      </c>
      <c r="C252" s="24">
        <v>10313</v>
      </c>
      <c r="D252" s="9">
        <v>46071</v>
      </c>
      <c r="E252" s="9" t="str">
        <f>PROPER(TEXT(Tabela1[[#This Row],[Data]],"dddd"))</f>
        <v>Quarta-Feira</v>
      </c>
      <c r="F252" s="21">
        <v>0.44513888888888886</v>
      </c>
      <c r="G252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52" s="7" t="s">
        <v>529</v>
      </c>
      <c r="I252" s="8" t="s">
        <v>23</v>
      </c>
      <c r="J252" s="7" t="s">
        <v>49</v>
      </c>
      <c r="K252" s="7" t="s">
        <v>50</v>
      </c>
      <c r="L252" s="7" t="s">
        <v>51</v>
      </c>
      <c r="M252" s="7" t="s">
        <v>56</v>
      </c>
      <c r="N252" s="7" t="s">
        <v>28</v>
      </c>
      <c r="O252" s="8">
        <v>4</v>
      </c>
      <c r="P252" s="7" t="s">
        <v>46</v>
      </c>
      <c r="Q252" s="8">
        <v>8</v>
      </c>
      <c r="R252" s="8">
        <v>1</v>
      </c>
      <c r="S252" s="11">
        <f>Tabela1[[#This Row],[Experiência Anos]]+(Tabela1[[#This Row],[Experiência Meses]]/12)</f>
        <v>8.0833333333333339</v>
      </c>
      <c r="T252" s="8" t="s">
        <v>23</v>
      </c>
      <c r="U252" s="8" t="s">
        <v>30</v>
      </c>
      <c r="V252" s="12" t="s">
        <v>23</v>
      </c>
      <c r="W252" s="12" t="s">
        <v>30</v>
      </c>
      <c r="X252" s="12" t="s">
        <v>30</v>
      </c>
    </row>
    <row r="253" spans="1:24">
      <c r="A253" s="10" t="s">
        <v>576</v>
      </c>
      <c r="B253" t="s">
        <v>563</v>
      </c>
      <c r="C253" s="23">
        <v>8962</v>
      </c>
      <c r="D253" s="1">
        <v>46072</v>
      </c>
      <c r="E253" s="1" t="str">
        <f>PROPER(TEXT(Tabela1[[#This Row],[Data]],"dddd"))</f>
        <v>Quinta-Feira</v>
      </c>
      <c r="F253" s="21">
        <v>0.20833333333333334</v>
      </c>
      <c r="G253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253" t="s">
        <v>152</v>
      </c>
      <c r="I253" s="2" t="s">
        <v>23</v>
      </c>
      <c r="J253" t="s">
        <v>49</v>
      </c>
      <c r="K253" t="s">
        <v>50</v>
      </c>
      <c r="L253" t="s">
        <v>51</v>
      </c>
      <c r="M253" t="s">
        <v>27</v>
      </c>
      <c r="N253" t="s">
        <v>101</v>
      </c>
      <c r="O253" s="2">
        <v>3</v>
      </c>
      <c r="P253" t="s">
        <v>87</v>
      </c>
      <c r="Q253" s="2">
        <v>13</v>
      </c>
      <c r="R253" s="2">
        <v>2</v>
      </c>
      <c r="S253" s="11">
        <f>Tabela1[[#This Row],[Experiência Anos]]+(Tabela1[[#This Row],[Experiência Meses]]/12)</f>
        <v>13.166666666666666</v>
      </c>
      <c r="T253" s="2" t="s">
        <v>23</v>
      </c>
      <c r="U253" s="2" t="s">
        <v>23</v>
      </c>
      <c r="V253" s="2" t="s">
        <v>23</v>
      </c>
      <c r="W253" s="2" t="s">
        <v>30</v>
      </c>
      <c r="X253" s="2" t="s">
        <v>30</v>
      </c>
    </row>
    <row r="254" spans="1:24">
      <c r="A254" s="10" t="s">
        <v>580</v>
      </c>
      <c r="B254" t="s">
        <v>564</v>
      </c>
      <c r="C254" s="23">
        <v>11127</v>
      </c>
      <c r="D254" s="1">
        <v>46073</v>
      </c>
      <c r="E254" s="1" t="str">
        <f>PROPER(TEXT(Tabela1[[#This Row],[Data]],"dddd"))</f>
        <v>Sexta-Feira</v>
      </c>
      <c r="F254" s="21">
        <v>3.472222222222222E-3</v>
      </c>
      <c r="G254" s="21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254" t="s">
        <v>341</v>
      </c>
      <c r="I254" s="2" t="s">
        <v>23</v>
      </c>
      <c r="J254" t="s">
        <v>49</v>
      </c>
      <c r="K254" t="s">
        <v>75</v>
      </c>
      <c r="L254" t="s">
        <v>76</v>
      </c>
      <c r="M254" t="s">
        <v>56</v>
      </c>
      <c r="N254" t="s">
        <v>28</v>
      </c>
      <c r="O254" s="2">
        <v>15</v>
      </c>
      <c r="P254" t="s">
        <v>87</v>
      </c>
      <c r="Q254" s="2">
        <v>5</v>
      </c>
      <c r="R254" s="2">
        <v>8</v>
      </c>
      <c r="S254" s="6">
        <f>Tabela1[[#This Row],[Experiência Anos]]+(Tabela1[[#This Row],[Experiência Meses]]/12)</f>
        <v>5.666666666666667</v>
      </c>
      <c r="T254" s="12" t="s">
        <v>30</v>
      </c>
      <c r="U254" s="12" t="s">
        <v>30</v>
      </c>
      <c r="V254" s="12" t="s">
        <v>23</v>
      </c>
      <c r="W254" s="12" t="s">
        <v>30</v>
      </c>
      <c r="X254" s="12" t="s">
        <v>30</v>
      </c>
    </row>
    <row r="255" spans="1:24">
      <c r="A255" s="10" t="s">
        <v>582</v>
      </c>
      <c r="B255" t="s">
        <v>565</v>
      </c>
      <c r="C255" s="23">
        <v>12595</v>
      </c>
      <c r="D255" s="1">
        <v>46073</v>
      </c>
      <c r="E255" s="1" t="str">
        <f>PROPER(TEXT(Tabela1[[#This Row],[Data]],"dddd"))</f>
        <v>Sexta-Feira</v>
      </c>
      <c r="F255" s="21">
        <v>0.66111111111111109</v>
      </c>
      <c r="G255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55" t="s">
        <v>566</v>
      </c>
      <c r="I255" s="2" t="s">
        <v>23</v>
      </c>
      <c r="J255" t="s">
        <v>33</v>
      </c>
      <c r="K255" t="s">
        <v>34</v>
      </c>
      <c r="L255" t="s">
        <v>35</v>
      </c>
      <c r="M255" t="s">
        <v>45</v>
      </c>
      <c r="N255" t="s">
        <v>28</v>
      </c>
      <c r="O255" s="2">
        <v>5</v>
      </c>
      <c r="P255" t="s">
        <v>29</v>
      </c>
      <c r="Q255" s="2">
        <v>0</v>
      </c>
      <c r="R255" s="2">
        <v>1</v>
      </c>
      <c r="S255" s="6">
        <f>Tabela1[[#This Row],[Experiência Anos]]+(Tabela1[[#This Row],[Experiência Meses]]/12)</f>
        <v>8.3333333333333329E-2</v>
      </c>
      <c r="T255" s="2" t="s">
        <v>30</v>
      </c>
      <c r="U255" s="2" t="s">
        <v>23</v>
      </c>
      <c r="V255" s="2" t="s">
        <v>23</v>
      </c>
      <c r="W255" s="2" t="s">
        <v>30</v>
      </c>
      <c r="X255" s="2" t="s">
        <v>30</v>
      </c>
    </row>
    <row r="256" spans="1:24">
      <c r="A256" s="10" t="s">
        <v>587</v>
      </c>
      <c r="B256" t="s">
        <v>569</v>
      </c>
      <c r="C256" s="23">
        <v>10185</v>
      </c>
      <c r="D256" s="1">
        <v>46076</v>
      </c>
      <c r="E256" s="1" t="str">
        <f>PROPER(TEXT(Tabela1[[#This Row],[Data]],"dddd"))</f>
        <v>Segunda-Feira</v>
      </c>
      <c r="F256" s="21">
        <v>0.54166666666666663</v>
      </c>
      <c r="G25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56" t="s">
        <v>567</v>
      </c>
      <c r="I256" s="2" t="s">
        <v>23</v>
      </c>
      <c r="J256" t="s">
        <v>33</v>
      </c>
      <c r="K256" t="s">
        <v>34</v>
      </c>
      <c r="L256" t="s">
        <v>35</v>
      </c>
      <c r="M256" t="s">
        <v>65</v>
      </c>
      <c r="N256" t="s">
        <v>28</v>
      </c>
      <c r="O256" s="2">
        <v>1</v>
      </c>
      <c r="P256" t="s">
        <v>29</v>
      </c>
      <c r="Q256" s="2">
        <v>9</v>
      </c>
      <c r="R256" s="2">
        <v>8</v>
      </c>
      <c r="S256" s="6">
        <f>Tabela1[[#This Row],[Experiência Anos]]+(Tabela1[[#This Row],[Experiência Meses]]/12)</f>
        <v>9.6666666666666661</v>
      </c>
      <c r="T256" s="2" t="s">
        <v>23</v>
      </c>
      <c r="U256" s="2" t="s">
        <v>30</v>
      </c>
      <c r="V256" s="2" t="s">
        <v>23</v>
      </c>
      <c r="W256" s="2" t="s">
        <v>30</v>
      </c>
      <c r="X256" s="2" t="s">
        <v>30</v>
      </c>
    </row>
    <row r="257" spans="1:24">
      <c r="A257" s="10" t="s">
        <v>583</v>
      </c>
      <c r="B257" t="s">
        <v>570</v>
      </c>
      <c r="C257" s="23">
        <v>12270</v>
      </c>
      <c r="D257" s="1">
        <v>46076</v>
      </c>
      <c r="E257" s="1" t="str">
        <f>PROPER(TEXT(Tabela1[[#This Row],[Data]],"dddd"))</f>
        <v>Segunda-Feira</v>
      </c>
      <c r="F257" s="21">
        <v>0.39027777777777778</v>
      </c>
      <c r="G25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57" t="s">
        <v>568</v>
      </c>
      <c r="I257" s="2" t="s">
        <v>23</v>
      </c>
      <c r="J257" t="s">
        <v>571</v>
      </c>
      <c r="K257" t="s">
        <v>50</v>
      </c>
      <c r="L257" t="s">
        <v>519</v>
      </c>
      <c r="M257" t="s">
        <v>56</v>
      </c>
      <c r="N257" t="s">
        <v>28</v>
      </c>
      <c r="O257" s="2">
        <v>7</v>
      </c>
      <c r="P257" t="s">
        <v>281</v>
      </c>
      <c r="Q257" s="2">
        <v>1</v>
      </c>
      <c r="R257" s="2">
        <v>1</v>
      </c>
      <c r="S257" s="6">
        <f>Tabela1[[#This Row],[Experiência Anos]]+(Tabela1[[#This Row],[Experiência Meses]]/12)</f>
        <v>1.0833333333333333</v>
      </c>
      <c r="T257" s="12" t="s">
        <v>30</v>
      </c>
      <c r="U257" s="12" t="s">
        <v>30</v>
      </c>
      <c r="V257" s="12" t="s">
        <v>23</v>
      </c>
      <c r="W257" s="12" t="s">
        <v>30</v>
      </c>
      <c r="X257" s="12" t="s">
        <v>30</v>
      </c>
    </row>
    <row r="258" spans="1:24">
      <c r="A258" s="10" t="s">
        <v>588</v>
      </c>
      <c r="B258" t="s">
        <v>585</v>
      </c>
      <c r="C258" s="23">
        <v>11801</v>
      </c>
      <c r="D258" s="1">
        <v>46079</v>
      </c>
      <c r="E258" s="1" t="str">
        <f>PROPER(TEXT(Tabela1[[#This Row],[Data]],"dddd"))</f>
        <v>Quinta-Feira</v>
      </c>
      <c r="F258" s="21">
        <v>0.56944444444444442</v>
      </c>
      <c r="G25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58" t="s">
        <v>586</v>
      </c>
      <c r="I258" s="2" t="s">
        <v>23</v>
      </c>
      <c r="J258" t="s">
        <v>39</v>
      </c>
      <c r="K258" t="s">
        <v>40</v>
      </c>
      <c r="L258" t="s">
        <v>41</v>
      </c>
      <c r="M258" t="s">
        <v>56</v>
      </c>
      <c r="N258" t="s">
        <v>28</v>
      </c>
      <c r="O258" s="2">
        <v>2</v>
      </c>
      <c r="P258" t="s">
        <v>87</v>
      </c>
      <c r="Q258" s="2">
        <v>2</v>
      </c>
      <c r="R258" s="2">
        <v>9</v>
      </c>
      <c r="S258" s="6">
        <f>Tabela1[[#This Row],[Experiência Anos]]+(Tabela1[[#This Row],[Experiência Meses]]/12)</f>
        <v>2.75</v>
      </c>
      <c r="T258" s="12" t="s">
        <v>30</v>
      </c>
      <c r="U258" s="12" t="s">
        <v>30</v>
      </c>
      <c r="V258" s="2" t="s">
        <v>23</v>
      </c>
      <c r="W258" s="2" t="s">
        <v>30</v>
      </c>
      <c r="X258" s="2" t="s">
        <v>30</v>
      </c>
    </row>
    <row r="259" spans="1:24">
      <c r="A259" s="10" t="s">
        <v>668</v>
      </c>
      <c r="B259" t="s">
        <v>663</v>
      </c>
      <c r="C259" s="23">
        <v>12604</v>
      </c>
      <c r="D259" s="1">
        <v>46097</v>
      </c>
      <c r="E259" s="1" t="str">
        <f>PROPER(TEXT(Tabela1[[#This Row],[Data]],"dddd"))</f>
        <v>Segunda-Feira</v>
      </c>
      <c r="F259" s="21">
        <v>0.56041666666666667</v>
      </c>
      <c r="G259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59" t="s">
        <v>664</v>
      </c>
      <c r="I259" s="2" t="s">
        <v>23</v>
      </c>
      <c r="J259" t="s">
        <v>24</v>
      </c>
      <c r="K259" t="s">
        <v>25</v>
      </c>
      <c r="L259" t="s">
        <v>26</v>
      </c>
      <c r="M259" t="s">
        <v>45</v>
      </c>
      <c r="N259" t="s">
        <v>28</v>
      </c>
      <c r="O259" s="2">
        <v>5</v>
      </c>
      <c r="P259" t="s">
        <v>29</v>
      </c>
      <c r="Q259" s="2">
        <v>0</v>
      </c>
      <c r="R259" s="2">
        <v>1</v>
      </c>
      <c r="S259" s="6">
        <f>Tabela1[[#This Row],[Experiência Anos]]+(Tabela1[[#This Row],[Experiência Meses]]/12)</f>
        <v>8.3333333333333329E-2</v>
      </c>
      <c r="T259" s="12" t="s">
        <v>30</v>
      </c>
      <c r="U259" s="12" t="s">
        <v>30</v>
      </c>
      <c r="V259" s="2" t="s">
        <v>23</v>
      </c>
      <c r="W259" s="2" t="s">
        <v>30</v>
      </c>
      <c r="X259" s="2" t="s">
        <v>30</v>
      </c>
    </row>
    <row r="260" spans="1:24">
      <c r="A260" s="10" t="s">
        <v>681</v>
      </c>
      <c r="B260" t="s">
        <v>665</v>
      </c>
      <c r="C260" s="23">
        <v>12423</v>
      </c>
      <c r="D260" s="1">
        <v>46104</v>
      </c>
      <c r="E260" s="1" t="str">
        <f>PROPER(TEXT(Tabela1[[#This Row],[Data]],"dddd"))</f>
        <v>Segunda-Feira</v>
      </c>
      <c r="F260" s="21">
        <v>0.70833333333333337</v>
      </c>
      <c r="G260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60" t="s">
        <v>547</v>
      </c>
      <c r="I260" s="2" t="s">
        <v>23</v>
      </c>
      <c r="J260" t="s">
        <v>518</v>
      </c>
      <c r="K260" t="s">
        <v>50</v>
      </c>
      <c r="L260" t="s">
        <v>519</v>
      </c>
      <c r="M260" t="s">
        <v>548</v>
      </c>
      <c r="N260" t="s">
        <v>28</v>
      </c>
      <c r="O260" s="2">
        <v>1</v>
      </c>
      <c r="P260" t="s">
        <v>87</v>
      </c>
      <c r="Q260" s="2">
        <v>0</v>
      </c>
      <c r="R260" s="2">
        <v>8</v>
      </c>
      <c r="S260" s="6">
        <f>Tabela1[[#This Row],[Experiência Anos]]+(Tabela1[[#This Row],[Experiência Meses]]/12)</f>
        <v>0.66666666666666663</v>
      </c>
      <c r="T260" s="12" t="s">
        <v>30</v>
      </c>
      <c r="U260" s="12" t="s">
        <v>30</v>
      </c>
      <c r="V260" s="2" t="s">
        <v>23</v>
      </c>
      <c r="W260" s="2" t="s">
        <v>30</v>
      </c>
      <c r="X260" s="2" t="s">
        <v>30</v>
      </c>
    </row>
    <row r="261" spans="1:24">
      <c r="A261" s="10" t="s">
        <v>682</v>
      </c>
      <c r="B261" t="s">
        <v>666</v>
      </c>
      <c r="C261" s="23">
        <v>12633</v>
      </c>
      <c r="D261" s="1">
        <v>46105</v>
      </c>
      <c r="E261" s="1" t="str">
        <f>PROPER(TEXT(Tabela1[[#This Row],[Data]],"dddd"))</f>
        <v>Terça-Feira</v>
      </c>
      <c r="F261" s="21">
        <v>0.41666666666666669</v>
      </c>
      <c r="G261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61" t="s">
        <v>667</v>
      </c>
      <c r="I261" s="2" t="s">
        <v>23</v>
      </c>
      <c r="J261" t="s">
        <v>518</v>
      </c>
      <c r="K261" t="s">
        <v>50</v>
      </c>
      <c r="L261" t="s">
        <v>519</v>
      </c>
      <c r="M261" t="s">
        <v>45</v>
      </c>
      <c r="N261" t="s">
        <v>28</v>
      </c>
      <c r="O261" s="2">
        <v>1</v>
      </c>
      <c r="P261" t="s">
        <v>29</v>
      </c>
      <c r="Q261" s="2">
        <v>0</v>
      </c>
      <c r="R261" s="2">
        <v>1</v>
      </c>
      <c r="S261" s="6">
        <f>Tabela1[[#This Row],[Experiência Anos]]+(Tabela1[[#This Row],[Experiência Meses]]/12)</f>
        <v>8.3333333333333329E-2</v>
      </c>
      <c r="T261" s="12" t="s">
        <v>30</v>
      </c>
      <c r="U261" s="12" t="s">
        <v>30</v>
      </c>
      <c r="V261" s="12" t="s">
        <v>30</v>
      </c>
      <c r="W261" s="2" t="s">
        <v>30</v>
      </c>
      <c r="X261" s="2" t="s">
        <v>30</v>
      </c>
    </row>
    <row r="262" spans="1:24">
      <c r="A262" s="10" t="s">
        <v>683</v>
      </c>
      <c r="B262" t="s">
        <v>669</v>
      </c>
      <c r="C262" s="23">
        <v>12370</v>
      </c>
      <c r="D262" s="1">
        <v>46105</v>
      </c>
      <c r="E262" s="1" t="str">
        <f>PROPER(TEXT(Tabela1[[#This Row],[Data]],"dddd"))</f>
        <v>Terça-Feira</v>
      </c>
      <c r="F262" s="21">
        <v>0.64583333333333337</v>
      </c>
      <c r="G26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62" t="s">
        <v>670</v>
      </c>
      <c r="I262" s="2" t="s">
        <v>23</v>
      </c>
      <c r="J262" t="s">
        <v>49</v>
      </c>
      <c r="K262" s="7" t="s">
        <v>50</v>
      </c>
      <c r="L262" t="s">
        <v>26</v>
      </c>
      <c r="M262" t="s">
        <v>45</v>
      </c>
      <c r="N262" t="s">
        <v>28</v>
      </c>
      <c r="O262" s="2">
        <v>2</v>
      </c>
      <c r="P262" t="s">
        <v>29</v>
      </c>
      <c r="Q262" s="2">
        <v>0</v>
      </c>
      <c r="R262" s="2">
        <v>10</v>
      </c>
      <c r="S262" s="6">
        <f>Tabela1[[#This Row],[Experiência Anos]]+(Tabela1[[#This Row],[Experiência Meses]]/12)</f>
        <v>0.83333333333333337</v>
      </c>
      <c r="T262" s="12" t="s">
        <v>30</v>
      </c>
      <c r="U262" s="12" t="s">
        <v>30</v>
      </c>
      <c r="V262" s="2" t="s">
        <v>23</v>
      </c>
      <c r="W262" s="2" t="s">
        <v>30</v>
      </c>
      <c r="X262" s="2" t="s">
        <v>23</v>
      </c>
    </row>
    <row r="263" spans="1:24">
      <c r="A263" s="10" t="s">
        <v>680</v>
      </c>
      <c r="B263" t="s">
        <v>671</v>
      </c>
      <c r="C263" s="23">
        <v>12553</v>
      </c>
      <c r="D263" s="1">
        <v>46105</v>
      </c>
      <c r="E263" s="1" t="str">
        <f>PROPER(TEXT(Tabela1[[#This Row],[Data]],"dddd"))</f>
        <v>Terça-Feira</v>
      </c>
      <c r="F263" s="21">
        <v>0.6875</v>
      </c>
      <c r="G263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63" t="s">
        <v>673</v>
      </c>
      <c r="I263" s="2" t="s">
        <v>23</v>
      </c>
      <c r="J263" t="s">
        <v>518</v>
      </c>
      <c r="K263" t="s">
        <v>50</v>
      </c>
      <c r="L263" t="s">
        <v>519</v>
      </c>
      <c r="M263" t="s">
        <v>56</v>
      </c>
      <c r="N263" t="s">
        <v>28</v>
      </c>
      <c r="O263" s="2">
        <v>1</v>
      </c>
      <c r="P263" t="s">
        <v>87</v>
      </c>
      <c r="Q263" s="2">
        <v>0</v>
      </c>
      <c r="R263" s="2">
        <v>3</v>
      </c>
      <c r="S263" s="6">
        <f>Tabela1[[#This Row],[Experiência Anos]]+(Tabela1[[#This Row],[Experiência Meses]]/12)</f>
        <v>0.25</v>
      </c>
      <c r="T263" s="12" t="s">
        <v>30</v>
      </c>
      <c r="U263" s="12" t="s">
        <v>30</v>
      </c>
      <c r="V263" s="2" t="s">
        <v>23</v>
      </c>
      <c r="W263" s="2" t="s">
        <v>30</v>
      </c>
      <c r="X263" s="2" t="s">
        <v>30</v>
      </c>
    </row>
    <row r="264" spans="1:24">
      <c r="A264" s="10" t="s">
        <v>695</v>
      </c>
      <c r="B264" t="s">
        <v>672</v>
      </c>
      <c r="C264" s="23">
        <v>12542</v>
      </c>
      <c r="D264" s="1">
        <v>46106</v>
      </c>
      <c r="E264" s="1" t="str">
        <f>PROPER(TEXT(Tabela1[[#This Row],[Data]],"dddd"))</f>
        <v>Quarta-Feira</v>
      </c>
      <c r="F264" s="21">
        <v>0.625</v>
      </c>
      <c r="G264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64" t="s">
        <v>674</v>
      </c>
      <c r="I264" s="2" t="s">
        <v>23</v>
      </c>
      <c r="J264" t="s">
        <v>49</v>
      </c>
      <c r="K264" t="s">
        <v>50</v>
      </c>
      <c r="L264" t="s">
        <v>801</v>
      </c>
      <c r="M264" t="s">
        <v>675</v>
      </c>
      <c r="N264" t="s">
        <v>28</v>
      </c>
      <c r="O264" s="2">
        <v>7</v>
      </c>
      <c r="P264" t="s">
        <v>206</v>
      </c>
      <c r="Q264" s="2">
        <v>0</v>
      </c>
      <c r="R264" s="2">
        <v>4</v>
      </c>
      <c r="S264" s="6">
        <f>Tabela1[[#This Row],[Experiência Anos]]+(Tabela1[[#This Row],[Experiência Meses]]/12)</f>
        <v>0.33333333333333331</v>
      </c>
      <c r="T264" s="2" t="s">
        <v>23</v>
      </c>
      <c r="U264" s="12" t="s">
        <v>30</v>
      </c>
      <c r="V264" s="2" t="s">
        <v>23</v>
      </c>
      <c r="W264" s="2" t="s">
        <v>30</v>
      </c>
      <c r="X264" s="2" t="s">
        <v>30</v>
      </c>
    </row>
    <row r="265" spans="1:24">
      <c r="A265" s="33"/>
      <c r="B265" t="s">
        <v>678</v>
      </c>
      <c r="C265" s="23">
        <v>12502</v>
      </c>
      <c r="D265" s="1">
        <v>46125</v>
      </c>
      <c r="E265" s="1" t="str">
        <f>PROPER(TEXT(Tabela1[[#This Row],[Data]],"dddd"))</f>
        <v>Segunda-Feira</v>
      </c>
      <c r="F265" s="21">
        <v>0.71875</v>
      </c>
      <c r="G265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65" t="s">
        <v>676</v>
      </c>
      <c r="I265" s="2" t="s">
        <v>23</v>
      </c>
      <c r="J265" t="s">
        <v>24</v>
      </c>
      <c r="K265" t="s">
        <v>50</v>
      </c>
      <c r="L265" t="s">
        <v>26</v>
      </c>
      <c r="M265" t="s">
        <v>56</v>
      </c>
      <c r="N265" t="s">
        <v>28</v>
      </c>
      <c r="O265" s="2">
        <v>2</v>
      </c>
      <c r="P265" t="s">
        <v>46</v>
      </c>
      <c r="Q265" s="2">
        <v>0</v>
      </c>
      <c r="R265" s="2">
        <v>6</v>
      </c>
      <c r="S265" s="6">
        <f>Tabela1[[#This Row],[Experiência Anos]]+(Tabela1[[#This Row],[Experiência Meses]]/12)</f>
        <v>0.5</v>
      </c>
      <c r="T265" s="2" t="s">
        <v>30</v>
      </c>
      <c r="U265" s="2" t="s">
        <v>30</v>
      </c>
      <c r="V265" s="2" t="s">
        <v>23</v>
      </c>
      <c r="W265" s="2" t="s">
        <v>30</v>
      </c>
      <c r="X265" s="2" t="s">
        <v>30</v>
      </c>
    </row>
    <row r="266" spans="1:24">
      <c r="A266" s="10" t="s">
        <v>696</v>
      </c>
      <c r="B266" t="s">
        <v>679</v>
      </c>
      <c r="C266" s="23">
        <v>12674</v>
      </c>
      <c r="D266" s="1">
        <v>46125</v>
      </c>
      <c r="E266" s="1" t="str">
        <f>PROPER(TEXT(Tabela1[[#This Row],[Data]],"dddd"))</f>
        <v>Segunda-Feira</v>
      </c>
      <c r="F266" s="21">
        <v>0.52083333333333337</v>
      </c>
      <c r="G266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66" t="s">
        <v>677</v>
      </c>
      <c r="I266" s="2" t="s">
        <v>23</v>
      </c>
      <c r="J266" t="s">
        <v>571</v>
      </c>
      <c r="K266" t="s">
        <v>50</v>
      </c>
      <c r="L266" t="s">
        <v>519</v>
      </c>
      <c r="M266" t="s">
        <v>548</v>
      </c>
      <c r="N266" t="s">
        <v>28</v>
      </c>
      <c r="O266" s="2">
        <v>2</v>
      </c>
      <c r="P266" t="s">
        <v>29</v>
      </c>
      <c r="Q266" s="2">
        <v>0</v>
      </c>
      <c r="R266" s="18">
        <f>1/30</f>
        <v>3.3333333333333333E-2</v>
      </c>
      <c r="S266" s="6">
        <f>Tabela1[[#This Row],[Experiência Anos]]+(Tabela1[[#This Row],[Experiência Meses]]/12)</f>
        <v>2.7777777777777779E-3</v>
      </c>
      <c r="T266" s="2" t="s">
        <v>30</v>
      </c>
      <c r="U266" s="2" t="s">
        <v>30</v>
      </c>
      <c r="V266" s="2" t="s">
        <v>23</v>
      </c>
      <c r="W266" s="2" t="s">
        <v>30</v>
      </c>
      <c r="X266" s="2" t="s">
        <v>30</v>
      </c>
    </row>
    <row r="267" spans="1:24">
      <c r="A267" s="10" t="s">
        <v>697</v>
      </c>
      <c r="B267" t="s">
        <v>684</v>
      </c>
      <c r="C267" s="23">
        <v>10734</v>
      </c>
      <c r="D267" s="1">
        <v>46127</v>
      </c>
      <c r="E267" s="1" t="str">
        <f>PROPER(TEXT(Tabela1[[#This Row],[Data]],"dddd"))</f>
        <v>Quarta-Feira</v>
      </c>
      <c r="F267" s="21">
        <v>0.45833333333333331</v>
      </c>
      <c r="G26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67" t="s">
        <v>128</v>
      </c>
      <c r="I267" s="2" t="s">
        <v>30</v>
      </c>
      <c r="J267" t="s">
        <v>24</v>
      </c>
      <c r="K267" t="s">
        <v>25</v>
      </c>
      <c r="L267" t="s">
        <v>26</v>
      </c>
      <c r="M267" t="s">
        <v>27</v>
      </c>
      <c r="N267" t="s">
        <v>28</v>
      </c>
      <c r="O267" s="2">
        <v>15</v>
      </c>
      <c r="P267" t="s">
        <v>29</v>
      </c>
      <c r="Q267" s="2">
        <v>3</v>
      </c>
      <c r="R267" s="2">
        <v>9</v>
      </c>
      <c r="S267" s="6">
        <f>Tabela1[[#This Row],[Experiência Anos]]+(Tabela1[[#This Row],[Experiência Meses]]/12)</f>
        <v>3.75</v>
      </c>
      <c r="T267" s="2" t="s">
        <v>30</v>
      </c>
      <c r="U267" s="2" t="s">
        <v>30</v>
      </c>
      <c r="V267" s="2" t="s">
        <v>23</v>
      </c>
      <c r="W267" s="2" t="s">
        <v>30</v>
      </c>
      <c r="X267" s="2" t="s">
        <v>30</v>
      </c>
    </row>
    <row r="268" spans="1:24">
      <c r="A268" s="10" t="s">
        <v>698</v>
      </c>
      <c r="B268" t="s">
        <v>685</v>
      </c>
      <c r="C268" s="23">
        <v>9528</v>
      </c>
      <c r="D268" s="1">
        <v>46127</v>
      </c>
      <c r="E268" s="1" t="str">
        <f>PROPER(TEXT(Tabela1[[#This Row],[Data]],"dddd"))</f>
        <v>Quarta-Feira</v>
      </c>
      <c r="F268" s="21">
        <v>0.625</v>
      </c>
      <c r="G268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68" t="s">
        <v>99</v>
      </c>
      <c r="I268" s="2" t="s">
        <v>23</v>
      </c>
      <c r="J268" t="s">
        <v>24</v>
      </c>
      <c r="K268" t="s">
        <v>25</v>
      </c>
      <c r="L268" t="s">
        <v>26</v>
      </c>
      <c r="M268" t="s">
        <v>100</v>
      </c>
      <c r="N268" t="s">
        <v>28</v>
      </c>
      <c r="O268" s="2">
        <v>5</v>
      </c>
      <c r="P268" t="s">
        <v>29</v>
      </c>
      <c r="Q268" s="2">
        <v>8</v>
      </c>
      <c r="R268" s="2">
        <v>0</v>
      </c>
      <c r="S268" s="6">
        <f>Tabela1[[#This Row],[Experiência Anos]]+(Tabela1[[#This Row],[Experiência Meses]]/12)</f>
        <v>8</v>
      </c>
      <c r="T268" s="2" t="s">
        <v>30</v>
      </c>
      <c r="U268" s="2" t="s">
        <v>23</v>
      </c>
      <c r="V268" s="2" t="s">
        <v>23</v>
      </c>
      <c r="W268" s="2" t="s">
        <v>30</v>
      </c>
      <c r="X268" s="2" t="s">
        <v>30</v>
      </c>
    </row>
    <row r="269" spans="1:24">
      <c r="A269" s="10" t="s">
        <v>764</v>
      </c>
      <c r="B269" t="s">
        <v>686</v>
      </c>
      <c r="C269" s="23">
        <v>12552</v>
      </c>
      <c r="D269" s="1">
        <v>46125</v>
      </c>
      <c r="E269" s="1" t="str">
        <f>PROPER(TEXT(Tabela1[[#This Row],[Data]],"dddd"))</f>
        <v>Segunda-Feira</v>
      </c>
      <c r="F269" s="21">
        <v>0.33333333333333331</v>
      </c>
      <c r="G269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69" t="s">
        <v>763</v>
      </c>
      <c r="I269" s="2" t="s">
        <v>23</v>
      </c>
      <c r="J269" t="s">
        <v>537</v>
      </c>
      <c r="K269" t="s">
        <v>50</v>
      </c>
      <c r="L269" t="s">
        <v>519</v>
      </c>
      <c r="M269" t="s">
        <v>27</v>
      </c>
      <c r="N269" t="s">
        <v>28</v>
      </c>
      <c r="O269" s="2">
        <v>3</v>
      </c>
      <c r="P269" t="s">
        <v>46</v>
      </c>
      <c r="Q269" s="2">
        <v>0</v>
      </c>
      <c r="R269" s="2">
        <v>4</v>
      </c>
      <c r="S269" s="6">
        <f>Tabela1[[#This Row],[Experiência Anos]]+(Tabela1[[#This Row],[Experiência Meses]]/12)</f>
        <v>0.33333333333333331</v>
      </c>
      <c r="T269" s="2" t="s">
        <v>30</v>
      </c>
      <c r="U269" s="2" t="s">
        <v>23</v>
      </c>
      <c r="V269" s="2" t="s">
        <v>23</v>
      </c>
      <c r="W269" s="2" t="s">
        <v>30</v>
      </c>
      <c r="X269" s="2" t="s">
        <v>30</v>
      </c>
    </row>
    <row r="270" spans="1:24">
      <c r="A270" s="10" t="s">
        <v>699</v>
      </c>
      <c r="B270" t="s">
        <v>688</v>
      </c>
      <c r="C270" s="23">
        <v>8240</v>
      </c>
      <c r="D270" s="19">
        <v>46140</v>
      </c>
      <c r="E270" s="19" t="str">
        <f>PROPER(TEXT(Tabela1[[#This Row],[Data]],"dddd"))</f>
        <v>Terça-Feira</v>
      </c>
      <c r="F270" s="22">
        <v>0.13819444444444445</v>
      </c>
      <c r="G270" s="22" t="str">
        <f>IF(Tabela1[[#This Row],[Hora]]="","",IF(HOUR(Tabela1[[#This Row],[Hora]])&lt;6,"Madrugada",IF(HOUR(Tabela1[[#This Row],[Hora]])&lt;12,"Manhã",IF(HOUR(Tabela1[[#This Row],[Hora]])&lt;18,"Tarde","Noite"))))</f>
        <v>Madrugada</v>
      </c>
      <c r="H270" t="s">
        <v>687</v>
      </c>
      <c r="I270" s="2" t="s">
        <v>23</v>
      </c>
      <c r="J270" t="s">
        <v>24</v>
      </c>
      <c r="K270" t="s">
        <v>25</v>
      </c>
      <c r="L270" t="s">
        <v>26</v>
      </c>
      <c r="M270" t="s">
        <v>691</v>
      </c>
      <c r="N270" t="s">
        <v>28</v>
      </c>
      <c r="O270" s="2">
        <v>3</v>
      </c>
      <c r="P270" t="s">
        <v>29</v>
      </c>
      <c r="Q270" s="2">
        <v>15</v>
      </c>
      <c r="R270" s="2">
        <v>8</v>
      </c>
      <c r="S270" s="6">
        <f>Tabela1[[#This Row],[Experiência Anos]]+(Tabela1[[#This Row],[Experiência Meses]]/12)</f>
        <v>15.666666666666666</v>
      </c>
      <c r="T270" s="2" t="s">
        <v>30</v>
      </c>
      <c r="U270" s="2" t="s">
        <v>30</v>
      </c>
      <c r="V270" s="2" t="s">
        <v>23</v>
      </c>
      <c r="W270" s="2" t="s">
        <v>30</v>
      </c>
      <c r="X270" s="2" t="s">
        <v>30</v>
      </c>
    </row>
    <row r="271" spans="1:24">
      <c r="A271" s="10" t="s">
        <v>759</v>
      </c>
      <c r="B271" t="s">
        <v>689</v>
      </c>
      <c r="C271" s="23">
        <v>12562</v>
      </c>
      <c r="D271" s="1">
        <v>46146</v>
      </c>
      <c r="E271" s="1" t="str">
        <f>PROPER(TEXT(Tabela1[[#This Row],[Data]],"dddd"))</f>
        <v>Segunda-Feira</v>
      </c>
      <c r="F271" s="21">
        <v>0.35416666666666669</v>
      </c>
      <c r="G271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71" s="20" t="s">
        <v>690</v>
      </c>
      <c r="I271" s="2" t="s">
        <v>23</v>
      </c>
      <c r="J271" t="s">
        <v>537</v>
      </c>
      <c r="K271" t="s">
        <v>50</v>
      </c>
      <c r="L271" t="s">
        <v>519</v>
      </c>
      <c r="M271" t="s">
        <v>388</v>
      </c>
      <c r="N271" t="s">
        <v>28</v>
      </c>
      <c r="O271" s="2">
        <v>5</v>
      </c>
      <c r="P271" t="s">
        <v>87</v>
      </c>
      <c r="Q271" s="2">
        <v>0</v>
      </c>
      <c r="R271" s="2">
        <v>4</v>
      </c>
      <c r="S271" s="6">
        <f>Tabela1[[#This Row],[Experiência Anos]]+(Tabela1[[#This Row],[Experiência Meses]]/12)</f>
        <v>0.33333333333333331</v>
      </c>
      <c r="T271" s="2" t="s">
        <v>30</v>
      </c>
      <c r="U271" s="2" t="s">
        <v>23</v>
      </c>
      <c r="V271" s="2" t="s">
        <v>23</v>
      </c>
      <c r="W271" s="2" t="s">
        <v>30</v>
      </c>
      <c r="X271" s="2" t="s">
        <v>30</v>
      </c>
    </row>
    <row r="272" spans="1:24">
      <c r="A272" s="10" t="s">
        <v>802</v>
      </c>
      <c r="B272" t="s">
        <v>795</v>
      </c>
      <c r="C272" s="23">
        <v>12690</v>
      </c>
      <c r="D272" s="1">
        <v>46170</v>
      </c>
      <c r="E272" s="1" t="str">
        <f>PROPER(TEXT(Tabela1[[#This Row],[Data]],"dddd"))</f>
        <v>Quinta-Feira</v>
      </c>
      <c r="F272" s="21">
        <v>0.58819444444444446</v>
      </c>
      <c r="G272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72" t="s">
        <v>797</v>
      </c>
      <c r="I272" s="2" t="s">
        <v>23</v>
      </c>
      <c r="J272" t="s">
        <v>24</v>
      </c>
      <c r="K272" t="s">
        <v>799</v>
      </c>
      <c r="L272" t="s">
        <v>798</v>
      </c>
      <c r="M272" t="s">
        <v>800</v>
      </c>
      <c r="N272" t="s">
        <v>28</v>
      </c>
      <c r="O272" s="2">
        <v>8</v>
      </c>
      <c r="P272" t="s">
        <v>206</v>
      </c>
      <c r="Q272" s="2">
        <v>0</v>
      </c>
      <c r="R272" s="2">
        <v>1</v>
      </c>
      <c r="S272" s="6">
        <f>Tabela1[[#This Row],[Experiência Anos]]+(Tabela1[[#This Row],[Experiência Meses]]/12)</f>
        <v>8.3333333333333329E-2</v>
      </c>
      <c r="T272" s="2" t="s">
        <v>30</v>
      </c>
      <c r="U272" s="2" t="s">
        <v>30</v>
      </c>
      <c r="V272" s="2" t="s">
        <v>23</v>
      </c>
      <c r="W272" s="2" t="s">
        <v>30</v>
      </c>
      <c r="X272" s="2" t="s">
        <v>23</v>
      </c>
    </row>
    <row r="273" spans="1:24">
      <c r="A273" s="10" t="s">
        <v>803</v>
      </c>
      <c r="B273" t="s">
        <v>796</v>
      </c>
      <c r="C273" s="23">
        <v>12666</v>
      </c>
      <c r="D273" s="1">
        <v>46205</v>
      </c>
      <c r="E273" s="1" t="str">
        <f>PROPER(TEXT(Tabela1[[#This Row],[Data]],"dddd"))</f>
        <v>Quinta-Feira</v>
      </c>
      <c r="F273" s="21">
        <v>0.43125000000000002</v>
      </c>
      <c r="G27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73" t="s">
        <v>804</v>
      </c>
      <c r="I273" s="2" t="s">
        <v>23</v>
      </c>
      <c r="J273" t="s">
        <v>49</v>
      </c>
      <c r="K273" t="s">
        <v>75</v>
      </c>
      <c r="L273" t="s">
        <v>76</v>
      </c>
      <c r="M273" t="s">
        <v>56</v>
      </c>
      <c r="N273" t="s">
        <v>28</v>
      </c>
      <c r="O273" s="2">
        <v>3</v>
      </c>
      <c r="P273" t="s">
        <v>87</v>
      </c>
      <c r="Q273" s="2">
        <v>0</v>
      </c>
      <c r="R273" s="2">
        <v>3</v>
      </c>
      <c r="S273" s="6">
        <f>Tabela1[[#This Row],[Experiência Anos]]+(Tabela1[[#This Row],[Experiência Meses]]/12)</f>
        <v>0.25</v>
      </c>
      <c r="T273" s="2" t="s">
        <v>30</v>
      </c>
      <c r="U273" s="2" t="s">
        <v>23</v>
      </c>
      <c r="V273" s="2" t="s">
        <v>30</v>
      </c>
      <c r="W273" s="2" t="s">
        <v>30</v>
      </c>
      <c r="X273" s="2" t="s">
        <v>30</v>
      </c>
    </row>
    <row r="274" spans="1:24">
      <c r="A274" s="10" t="s">
        <v>818</v>
      </c>
      <c r="B274" t="s">
        <v>805</v>
      </c>
      <c r="C274" s="23">
        <v>11340</v>
      </c>
      <c r="D274" s="1">
        <v>46217</v>
      </c>
      <c r="E274" s="1" t="str">
        <f>PROPER(TEXT(Tabela1[[#This Row],[Data]],"dddd"))</f>
        <v>Terça-Feira</v>
      </c>
      <c r="F274" s="21">
        <v>0.56319444444444444</v>
      </c>
      <c r="G274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74" t="s">
        <v>308</v>
      </c>
      <c r="I274" s="2" t="s">
        <v>30</v>
      </c>
      <c r="J274" t="s">
        <v>49</v>
      </c>
      <c r="K274" t="s">
        <v>50</v>
      </c>
      <c r="L274" t="s">
        <v>51</v>
      </c>
      <c r="M274" t="s">
        <v>27</v>
      </c>
      <c r="N274" t="s">
        <v>28</v>
      </c>
      <c r="O274" s="2">
        <v>15</v>
      </c>
      <c r="P274" t="s">
        <v>29</v>
      </c>
      <c r="Q274" s="2">
        <v>4</v>
      </c>
      <c r="R274" s="2">
        <v>5</v>
      </c>
      <c r="S274" s="6">
        <f>Tabela1[[#This Row],[Experiência Anos]]+(Tabela1[[#This Row],[Experiência Meses]]/12)</f>
        <v>4.416666666666667</v>
      </c>
      <c r="T274" s="2" t="s">
        <v>23</v>
      </c>
      <c r="U274" s="2" t="s">
        <v>23</v>
      </c>
      <c r="V274" s="2" t="s">
        <v>23</v>
      </c>
      <c r="W274" s="2" t="s">
        <v>30</v>
      </c>
      <c r="X274" s="2" t="s">
        <v>30</v>
      </c>
    </row>
    <row r="275" spans="1:24">
      <c r="A275" s="10" t="s">
        <v>819</v>
      </c>
      <c r="B275" t="s">
        <v>806</v>
      </c>
      <c r="C275" s="23">
        <v>954</v>
      </c>
      <c r="D275" s="1">
        <v>46218</v>
      </c>
      <c r="E275" s="1" t="str">
        <f>PROPER(TEXT(Tabela1[[#This Row],[Data]],"dddd"))</f>
        <v>Quarta-Feira</v>
      </c>
      <c r="F275" s="21">
        <v>0.2638888888888889</v>
      </c>
      <c r="G275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75" t="s">
        <v>809</v>
      </c>
      <c r="I275" s="2" t="s">
        <v>23</v>
      </c>
      <c r="J275" t="s">
        <v>49</v>
      </c>
      <c r="K275" t="s">
        <v>75</v>
      </c>
      <c r="L275" t="s">
        <v>76</v>
      </c>
      <c r="M275" t="s">
        <v>163</v>
      </c>
      <c r="N275" t="s">
        <v>28</v>
      </c>
      <c r="O275" s="2">
        <v>2</v>
      </c>
      <c r="P275" t="s">
        <v>206</v>
      </c>
      <c r="Q275" s="2">
        <v>20</v>
      </c>
      <c r="R275" s="2">
        <v>9</v>
      </c>
      <c r="S275" s="6">
        <f>Tabela1[[#This Row],[Experiência Anos]]+(Tabela1[[#This Row],[Experiência Meses]]/12)</f>
        <v>20.75</v>
      </c>
      <c r="T275" s="2" t="s">
        <v>23</v>
      </c>
      <c r="U275" s="2" t="s">
        <v>23</v>
      </c>
      <c r="V275" s="2" t="s">
        <v>23</v>
      </c>
      <c r="W275" s="2" t="s">
        <v>30</v>
      </c>
      <c r="X275" s="2" t="s">
        <v>30</v>
      </c>
    </row>
    <row r="276" spans="1:24">
      <c r="A276" s="10" t="s">
        <v>820</v>
      </c>
      <c r="B276" t="s">
        <v>807</v>
      </c>
      <c r="C276" s="23">
        <v>12721</v>
      </c>
      <c r="D276" s="1">
        <v>46218</v>
      </c>
      <c r="E276" s="1" t="str">
        <f>PROPER(TEXT(Tabela1[[#This Row],[Data]],"dddd"))</f>
        <v>Quarta-Feira</v>
      </c>
      <c r="F276" s="21">
        <v>0.38194444444444442</v>
      </c>
      <c r="G276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76" t="s">
        <v>810</v>
      </c>
      <c r="I276" s="2" t="s">
        <v>30</v>
      </c>
      <c r="J276" t="s">
        <v>49</v>
      </c>
      <c r="K276" t="s">
        <v>50</v>
      </c>
      <c r="L276" t="s">
        <v>51</v>
      </c>
      <c r="M276" t="s">
        <v>56</v>
      </c>
      <c r="N276" t="s">
        <v>28</v>
      </c>
      <c r="O276" s="2">
        <v>15</v>
      </c>
      <c r="P276" t="s">
        <v>87</v>
      </c>
      <c r="Q276" s="2">
        <v>0</v>
      </c>
      <c r="R276" s="2">
        <v>1</v>
      </c>
      <c r="S276" s="6">
        <f>Tabela1[[#This Row],[Experiência Anos]]+(Tabela1[[#This Row],[Experiência Meses]]/12)</f>
        <v>8.3333333333333329E-2</v>
      </c>
      <c r="T276" s="2" t="s">
        <v>23</v>
      </c>
      <c r="U276" s="2" t="s">
        <v>23</v>
      </c>
      <c r="V276" s="2" t="s">
        <v>23</v>
      </c>
      <c r="W276" s="2" t="s">
        <v>30</v>
      </c>
      <c r="X276" s="2" t="s">
        <v>30</v>
      </c>
    </row>
    <row r="277" spans="1:24">
      <c r="A277" s="10" t="s">
        <v>824</v>
      </c>
      <c r="B277" t="s">
        <v>808</v>
      </c>
      <c r="C277" s="23">
        <v>12688</v>
      </c>
      <c r="D277" s="1">
        <v>46224</v>
      </c>
      <c r="E277" s="1" t="str">
        <f>PROPER(TEXT(Tabela1[[#This Row],[Data]],"dddd"))</f>
        <v>Terça-Feira</v>
      </c>
      <c r="F277" s="21">
        <v>0.59722222222222221</v>
      </c>
      <c r="G277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77" t="s">
        <v>812</v>
      </c>
      <c r="I277" s="2" t="s">
        <v>23</v>
      </c>
      <c r="J277" t="s">
        <v>33</v>
      </c>
      <c r="K277" t="s">
        <v>34</v>
      </c>
      <c r="L277" t="s">
        <v>35</v>
      </c>
      <c r="M277" t="s">
        <v>45</v>
      </c>
      <c r="N277" t="s">
        <v>28</v>
      </c>
      <c r="O277" s="2">
        <v>7</v>
      </c>
      <c r="P277" t="s">
        <v>29</v>
      </c>
      <c r="Q277" s="2">
        <v>0</v>
      </c>
      <c r="R277" s="2">
        <v>3</v>
      </c>
      <c r="S277" s="6">
        <f>Tabela1[[#This Row],[Experiência Anos]]+(Tabela1[[#This Row],[Experiência Meses]]/12)</f>
        <v>0.25</v>
      </c>
      <c r="T277" s="2" t="s">
        <v>23</v>
      </c>
      <c r="U277" s="2" t="s">
        <v>23</v>
      </c>
      <c r="V277" s="2" t="s">
        <v>23</v>
      </c>
      <c r="W277" s="2" t="s">
        <v>30</v>
      </c>
      <c r="X277" s="2" t="s">
        <v>30</v>
      </c>
    </row>
    <row r="278" spans="1:24">
      <c r="A278" s="10" t="s">
        <v>825</v>
      </c>
      <c r="B278" t="s">
        <v>811</v>
      </c>
      <c r="C278" s="23">
        <v>10303</v>
      </c>
      <c r="D278" s="1">
        <v>46237</v>
      </c>
      <c r="E278" s="1" t="str">
        <f>PROPER(TEXT(Tabela1[[#This Row],[Data]],"dddd"))</f>
        <v>Segunda-Feira</v>
      </c>
      <c r="F278" s="21">
        <v>0.28472222222222221</v>
      </c>
      <c r="G278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78" t="s">
        <v>817</v>
      </c>
      <c r="I278" s="2" t="s">
        <v>23</v>
      </c>
      <c r="J278" t="s">
        <v>49</v>
      </c>
      <c r="K278" t="s">
        <v>50</v>
      </c>
      <c r="L278" t="s">
        <v>51</v>
      </c>
      <c r="M278" t="s">
        <v>56</v>
      </c>
      <c r="N278" t="s">
        <v>28</v>
      </c>
      <c r="O278" s="2">
        <v>6</v>
      </c>
      <c r="P278" t="s">
        <v>29</v>
      </c>
      <c r="Q278" s="2">
        <v>8</v>
      </c>
      <c r="R278" s="2">
        <v>5</v>
      </c>
      <c r="S278" s="6">
        <f>Tabela1[[#This Row],[Experiência Anos]]+(Tabela1[[#This Row],[Experiência Meses]]/12)</f>
        <v>8.4166666666666661</v>
      </c>
      <c r="T278" s="2" t="s">
        <v>23</v>
      </c>
      <c r="U278" s="2" t="s">
        <v>23</v>
      </c>
      <c r="V278" s="2" t="s">
        <v>23</v>
      </c>
      <c r="W278" s="2" t="s">
        <v>30</v>
      </c>
      <c r="X278" s="2" t="s">
        <v>30</v>
      </c>
    </row>
    <row r="279" spans="1:24">
      <c r="A279" s="10" t="s">
        <v>826</v>
      </c>
      <c r="B279" t="s">
        <v>813</v>
      </c>
      <c r="C279" s="23">
        <v>11956</v>
      </c>
      <c r="D279" s="1">
        <v>46239</v>
      </c>
      <c r="E279" s="1" t="str">
        <f>PROPER(TEXT(Tabela1[[#This Row],[Data]],"dddd"))</f>
        <v>Quarta-Feira</v>
      </c>
      <c r="F279" s="21">
        <v>0.71527777777777779</v>
      </c>
      <c r="G279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79" t="s">
        <v>814</v>
      </c>
      <c r="I279" s="2" t="s">
        <v>23</v>
      </c>
      <c r="J279" t="s">
        <v>49</v>
      </c>
      <c r="K279" t="s">
        <v>50</v>
      </c>
      <c r="L279" t="s">
        <v>51</v>
      </c>
      <c r="M279" t="s">
        <v>56</v>
      </c>
      <c r="N279" t="s">
        <v>28</v>
      </c>
      <c r="O279" s="2">
        <v>15</v>
      </c>
      <c r="P279" t="s">
        <v>29</v>
      </c>
      <c r="Q279" s="2">
        <v>2</v>
      </c>
      <c r="R279" s="2">
        <v>8</v>
      </c>
      <c r="S279" s="6">
        <f>Tabela1[[#This Row],[Experiência Anos]]+(Tabela1[[#This Row],[Experiência Meses]]/12)</f>
        <v>2.6666666666666665</v>
      </c>
      <c r="T279" s="2" t="s">
        <v>23</v>
      </c>
      <c r="U279" s="2" t="s">
        <v>23</v>
      </c>
      <c r="V279" s="2" t="s">
        <v>23</v>
      </c>
      <c r="W279" s="2" t="s">
        <v>30</v>
      </c>
      <c r="X279" s="2" t="s">
        <v>30</v>
      </c>
    </row>
    <row r="280" spans="1:24">
      <c r="A280" s="10" t="s">
        <v>827</v>
      </c>
      <c r="B280" t="s">
        <v>815</v>
      </c>
      <c r="C280" s="23">
        <v>12562</v>
      </c>
      <c r="D280" s="1">
        <v>46247</v>
      </c>
      <c r="E280" s="1" t="str">
        <f>PROPER(TEXT(Tabela1[[#This Row],[Data]],"dddd"))</f>
        <v>Quinta-Feira</v>
      </c>
      <c r="F280" s="21">
        <v>0.49305555555555558</v>
      </c>
      <c r="G280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80" s="20" t="s">
        <v>690</v>
      </c>
      <c r="I280" s="2" t="s">
        <v>23</v>
      </c>
      <c r="J280" t="s">
        <v>537</v>
      </c>
      <c r="K280" t="s">
        <v>50</v>
      </c>
      <c r="L280" t="s">
        <v>519</v>
      </c>
      <c r="M280" t="s">
        <v>388</v>
      </c>
      <c r="N280" t="s">
        <v>28</v>
      </c>
      <c r="O280" s="2">
        <v>5</v>
      </c>
      <c r="P280" t="s">
        <v>87</v>
      </c>
      <c r="Q280" s="2">
        <v>0</v>
      </c>
      <c r="R280" s="2">
        <v>4</v>
      </c>
      <c r="S280" s="6">
        <f>Tabela1[[#This Row],[Experiência Anos]]+(Tabela1[[#This Row],[Experiência Meses]]/12)</f>
        <v>0.33333333333333331</v>
      </c>
      <c r="T280" s="2" t="s">
        <v>23</v>
      </c>
      <c r="U280" s="2" t="s">
        <v>23</v>
      </c>
      <c r="V280" s="2" t="s">
        <v>23</v>
      </c>
      <c r="W280" s="2" t="s">
        <v>30</v>
      </c>
      <c r="X280" s="2" t="s">
        <v>30</v>
      </c>
    </row>
    <row r="281" spans="1:24" ht="17">
      <c r="A281" s="10" t="s">
        <v>828</v>
      </c>
      <c r="B281" t="s">
        <v>821</v>
      </c>
      <c r="C281" s="23">
        <v>12662</v>
      </c>
      <c r="D281" s="1">
        <v>46248</v>
      </c>
      <c r="E281" s="1" t="str">
        <f>PROPER(TEXT(Tabela1[[#This Row],[Data]],"dddd"))</f>
        <v>Sexta-Feira</v>
      </c>
      <c r="F281" s="21">
        <v>0.47430555555555554</v>
      </c>
      <c r="G281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81" s="34" t="s">
        <v>816</v>
      </c>
      <c r="I281" s="2" t="s">
        <v>23</v>
      </c>
      <c r="J281" t="s">
        <v>24</v>
      </c>
      <c r="K281" t="s">
        <v>25</v>
      </c>
      <c r="L281" t="s">
        <v>26</v>
      </c>
      <c r="M281" t="s">
        <v>45</v>
      </c>
      <c r="N281" t="s">
        <v>28</v>
      </c>
      <c r="O281" s="2">
        <v>6</v>
      </c>
      <c r="P281" t="s">
        <v>139</v>
      </c>
      <c r="Q281" s="2">
        <v>0</v>
      </c>
      <c r="R281" s="2">
        <v>4</v>
      </c>
      <c r="S281" s="6">
        <f>Tabela1[[#This Row],[Experiência Anos]]+(Tabela1[[#This Row],[Experiência Meses]]/12)</f>
        <v>0.33333333333333331</v>
      </c>
      <c r="T281" s="2" t="s">
        <v>23</v>
      </c>
      <c r="U281" s="2" t="s">
        <v>23</v>
      </c>
      <c r="V281" s="2" t="s">
        <v>23</v>
      </c>
      <c r="W281" s="2" t="s">
        <v>30</v>
      </c>
      <c r="X281" s="2" t="s">
        <v>30</v>
      </c>
    </row>
    <row r="282" spans="1:24">
      <c r="A282" s="10" t="s">
        <v>829</v>
      </c>
      <c r="B282" t="s">
        <v>822</v>
      </c>
      <c r="C282" s="23">
        <v>12553</v>
      </c>
      <c r="D282" s="1">
        <v>46252</v>
      </c>
      <c r="E282" s="1" t="str">
        <f>PROPER(TEXT(Tabela1[[#This Row],[Data]],"dddd"))</f>
        <v>Terça-Feira</v>
      </c>
      <c r="F282" s="21">
        <v>0.75694444444444442</v>
      </c>
      <c r="G282" s="21" t="str">
        <f>IF(Tabela1[[#This Row],[Hora]]="","",IF(HOUR(Tabela1[[#This Row],[Hora]])&lt;6,"Madrugada",IF(HOUR(Tabela1[[#This Row],[Hora]])&lt;12,"Manhã",IF(HOUR(Tabela1[[#This Row],[Hora]])&lt;18,"Tarde","Noite"))))</f>
        <v>Noite</v>
      </c>
      <c r="H282" t="s">
        <v>673</v>
      </c>
      <c r="I282" s="2" t="s">
        <v>23</v>
      </c>
      <c r="J282" t="s">
        <v>518</v>
      </c>
      <c r="K282" t="s">
        <v>50</v>
      </c>
      <c r="L282" t="s">
        <v>519</v>
      </c>
      <c r="M282" t="s">
        <v>56</v>
      </c>
      <c r="N282" t="s">
        <v>28</v>
      </c>
      <c r="O282" s="2">
        <v>15</v>
      </c>
      <c r="P282" t="s">
        <v>29</v>
      </c>
      <c r="Q282" s="2">
        <v>0</v>
      </c>
      <c r="R282" s="2">
        <v>8</v>
      </c>
      <c r="S282" s="6">
        <f>Tabela1[[#This Row],[Experiência Anos]]+(Tabela1[[#This Row],[Experiência Meses]]/12)</f>
        <v>0.66666666666666663</v>
      </c>
      <c r="T282" s="2" t="s">
        <v>23</v>
      </c>
      <c r="U282" s="2" t="s">
        <v>23</v>
      </c>
      <c r="V282" s="2" t="s">
        <v>23</v>
      </c>
      <c r="W282" s="2" t="s">
        <v>30</v>
      </c>
      <c r="X282" s="2" t="s">
        <v>30</v>
      </c>
    </row>
    <row r="283" spans="1:24">
      <c r="A283" s="10" t="s">
        <v>830</v>
      </c>
      <c r="B283" t="s">
        <v>823</v>
      </c>
      <c r="C283" s="23">
        <v>10716</v>
      </c>
      <c r="D283" s="1">
        <v>46258</v>
      </c>
      <c r="E283" s="1" t="str">
        <f>PROPER(TEXT(Tabela1[[#This Row],[Data]],"dddd"))</f>
        <v>Segunda-Feira</v>
      </c>
      <c r="F283" s="21">
        <v>0.42708333333333331</v>
      </c>
      <c r="G283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83" t="s">
        <v>278</v>
      </c>
      <c r="I283" s="2" t="s">
        <v>23</v>
      </c>
      <c r="J283" t="s">
        <v>33</v>
      </c>
      <c r="K283" t="s">
        <v>34</v>
      </c>
      <c r="L283" t="s">
        <v>35</v>
      </c>
      <c r="M283" t="s">
        <v>172</v>
      </c>
      <c r="N283" t="s">
        <v>28</v>
      </c>
      <c r="O283" s="2">
        <v>15</v>
      </c>
      <c r="P283" t="s">
        <v>29</v>
      </c>
      <c r="Q283" s="2">
        <v>6</v>
      </c>
      <c r="R283" s="2">
        <v>7</v>
      </c>
      <c r="S283" s="6">
        <f>Tabela1[[#This Row],[Experiência Anos]]+(Tabela1[[#This Row],[Experiência Meses]]/12)</f>
        <v>6.583333333333333</v>
      </c>
      <c r="T283" s="2" t="s">
        <v>23</v>
      </c>
      <c r="U283" s="2" t="s">
        <v>23</v>
      </c>
      <c r="V283" s="2" t="s">
        <v>23</v>
      </c>
      <c r="W283" s="2" t="s">
        <v>30</v>
      </c>
      <c r="X283" s="2" t="s">
        <v>30</v>
      </c>
    </row>
    <row r="284" spans="1:24">
      <c r="A284" s="10" t="s">
        <v>836</v>
      </c>
      <c r="B284" t="s">
        <v>831</v>
      </c>
      <c r="C284" s="23">
        <v>10715</v>
      </c>
      <c r="D284" s="1">
        <v>46267</v>
      </c>
      <c r="E284" s="1" t="str">
        <f>PROPER(TEXT(Tabela1[[#This Row],[Data]],"dddd"))</f>
        <v>Quarta-Feira</v>
      </c>
      <c r="F284" s="21">
        <v>0.375</v>
      </c>
      <c r="G284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84" t="s">
        <v>497</v>
      </c>
      <c r="I284" s="2" t="s">
        <v>23</v>
      </c>
      <c r="J284" t="s">
        <v>33</v>
      </c>
      <c r="K284" t="s">
        <v>34</v>
      </c>
      <c r="L284" t="s">
        <v>35</v>
      </c>
      <c r="M284" t="s">
        <v>314</v>
      </c>
      <c r="N284" t="s">
        <v>28</v>
      </c>
      <c r="O284" s="2">
        <v>15</v>
      </c>
      <c r="P284" t="s">
        <v>29</v>
      </c>
      <c r="Q284" s="2">
        <v>6</v>
      </c>
      <c r="R284" s="2">
        <v>7</v>
      </c>
      <c r="S284" s="6">
        <f>Tabela1[[#This Row],[Experiência Anos]]+(Tabela1[[#This Row],[Experiência Meses]]/12)</f>
        <v>6.583333333333333</v>
      </c>
      <c r="T284" s="2" t="s">
        <v>23</v>
      </c>
      <c r="U284" s="2" t="s">
        <v>23</v>
      </c>
      <c r="V284" s="2" t="s">
        <v>23</v>
      </c>
      <c r="W284" s="2" t="s">
        <v>30</v>
      </c>
      <c r="X284" s="2" t="s">
        <v>30</v>
      </c>
    </row>
    <row r="285" spans="1:24">
      <c r="A285" s="10" t="s">
        <v>837</v>
      </c>
      <c r="B285" t="s">
        <v>833</v>
      </c>
      <c r="C285" s="23">
        <v>12255</v>
      </c>
      <c r="D285" s="1">
        <v>46269</v>
      </c>
      <c r="E285" s="1" t="str">
        <f>PROPER(TEXT(Tabela1[[#This Row],[Data]],"dddd"))</f>
        <v>Sexta-Feira</v>
      </c>
      <c r="F285" s="21">
        <v>0.72083333333333333</v>
      </c>
      <c r="G285" s="21" t="str">
        <f>IF(Tabela1[[#This Row],[Hora]]="","",IF(HOUR(Tabela1[[#This Row],[Hora]])&lt;6,"Madrugada",IF(HOUR(Tabela1[[#This Row],[Hora]])&lt;12,"Manhã",IF(HOUR(Tabela1[[#This Row],[Hora]])&lt;18,"Tarde","Noite"))))</f>
        <v>Tarde</v>
      </c>
      <c r="H285" t="s">
        <v>832</v>
      </c>
      <c r="I285" s="2" t="s">
        <v>23</v>
      </c>
      <c r="J285" t="s">
        <v>24</v>
      </c>
      <c r="K285" t="s">
        <v>25</v>
      </c>
      <c r="L285" t="s">
        <v>26</v>
      </c>
      <c r="M285" t="s">
        <v>56</v>
      </c>
      <c r="N285" t="s">
        <v>28</v>
      </c>
      <c r="O285" s="2">
        <v>4</v>
      </c>
      <c r="P285" t="s">
        <v>139</v>
      </c>
      <c r="Q285" s="2">
        <v>2</v>
      </c>
      <c r="R285" s="2">
        <v>7</v>
      </c>
      <c r="S285" s="6">
        <f>Tabela1[[#This Row],[Experiência Anos]]+(Tabela1[[#This Row],[Experiência Meses]]/12)</f>
        <v>2.5833333333333335</v>
      </c>
      <c r="T285" s="2" t="s">
        <v>23</v>
      </c>
      <c r="U285" s="2" t="s">
        <v>23</v>
      </c>
      <c r="V285" s="2" t="s">
        <v>23</v>
      </c>
      <c r="W285" s="2" t="s">
        <v>30</v>
      </c>
      <c r="X285" s="2" t="s">
        <v>30</v>
      </c>
    </row>
    <row r="286" spans="1:24">
      <c r="A286" s="10" t="s">
        <v>838</v>
      </c>
      <c r="B286" t="s">
        <v>835</v>
      </c>
      <c r="C286" s="23">
        <v>12041</v>
      </c>
      <c r="D286" s="1">
        <v>46273</v>
      </c>
      <c r="E286" s="1" t="str">
        <f>PROPER(TEXT(Tabela1[[#This Row],[Data]],"dddd"))</f>
        <v>Terça-Feira</v>
      </c>
      <c r="F286" s="21">
        <v>0.41666666666666669</v>
      </c>
      <c r="G286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86" t="s">
        <v>834</v>
      </c>
      <c r="I286" s="2" t="s">
        <v>23</v>
      </c>
      <c r="J286" t="s">
        <v>49</v>
      </c>
      <c r="K286" t="s">
        <v>50</v>
      </c>
      <c r="L286" t="s">
        <v>51</v>
      </c>
      <c r="M286" t="s">
        <v>56</v>
      </c>
      <c r="N286" t="s">
        <v>28</v>
      </c>
      <c r="O286" s="2">
        <v>10</v>
      </c>
      <c r="P286" t="s">
        <v>29</v>
      </c>
      <c r="Q286" s="2">
        <v>2</v>
      </c>
      <c r="R286" s="2">
        <v>5</v>
      </c>
      <c r="S286" s="6">
        <f>Tabela1[[#This Row],[Experiência Anos]]+(Tabela1[[#This Row],[Experiência Meses]]/12)</f>
        <v>2.4166666666666665</v>
      </c>
      <c r="T286" s="2" t="s">
        <v>23</v>
      </c>
      <c r="U286" s="2" t="s">
        <v>23</v>
      </c>
      <c r="V286" s="2" t="s">
        <v>23</v>
      </c>
      <c r="W286" s="2" t="s">
        <v>30</v>
      </c>
      <c r="X286" s="2" t="s">
        <v>30</v>
      </c>
    </row>
    <row r="287" spans="1:24">
      <c r="A287" s="3"/>
      <c r="B287" t="s">
        <v>839</v>
      </c>
      <c r="C287" s="23">
        <v>12502</v>
      </c>
      <c r="D287" s="1">
        <v>46276</v>
      </c>
      <c r="E287" s="1" t="str">
        <f>PROPER(TEXT(Tabela1[[#This Row],[Data]],"dddd"))</f>
        <v>Sexta-Feira</v>
      </c>
      <c r="F287" s="21">
        <v>0.4375</v>
      </c>
      <c r="G287" s="21" t="str">
        <f>IF(Tabela1[[#This Row],[Hora]]="","",IF(HOUR(Tabela1[[#This Row],[Hora]])&lt;6,"Madrugada",IF(HOUR(Tabela1[[#This Row],[Hora]])&lt;12,"Manhã",IF(HOUR(Tabela1[[#This Row],[Hora]])&lt;18,"Tarde","Noite"))))</f>
        <v>Manhã</v>
      </c>
      <c r="H287" t="s">
        <v>676</v>
      </c>
      <c r="I287" s="2" t="s">
        <v>23</v>
      </c>
      <c r="J287" t="s">
        <v>24</v>
      </c>
      <c r="K287" t="s">
        <v>25</v>
      </c>
      <c r="L287" t="s">
        <v>26</v>
      </c>
      <c r="M287" t="s">
        <v>56</v>
      </c>
      <c r="N287" t="s">
        <v>28</v>
      </c>
      <c r="O287" s="2">
        <v>2</v>
      </c>
      <c r="P287" t="s">
        <v>281</v>
      </c>
      <c r="Q287" s="2">
        <v>0</v>
      </c>
      <c r="R287" s="2">
        <v>11</v>
      </c>
      <c r="S287" s="6">
        <f>Tabela1[[#This Row],[Experiência Anos]]+(Tabela1[[#This Row],[Experiência Meses]]/12)</f>
        <v>0.91666666666666663</v>
      </c>
      <c r="T287" s="2" t="s">
        <v>23</v>
      </c>
      <c r="U287" s="2" t="s">
        <v>23</v>
      </c>
      <c r="V287" s="2" t="s">
        <v>23</v>
      </c>
      <c r="W287" s="2" t="s">
        <v>30</v>
      </c>
      <c r="X287" s="2" t="s">
        <v>30</v>
      </c>
    </row>
  </sheetData>
  <phoneticPr fontId="1" type="noConversion"/>
  <conditionalFormatting sqref="H1:H1048576">
    <cfRule type="duplicateValues" dxfId="12" priority="13"/>
  </conditionalFormatting>
  <conditionalFormatting sqref="T2:T269 V2:V279 T270:U272 T273:T279 T280:V280 T281:T287 V281:V287">
    <cfRule type="cellIs" dxfId="11" priority="3" operator="equal">
      <formula>"não"</formula>
    </cfRule>
    <cfRule type="cellIs" dxfId="10" priority="4" operator="equal">
      <formula>"sim"</formula>
    </cfRule>
  </conditionalFormatting>
  <conditionalFormatting sqref="U2:U269">
    <cfRule type="cellIs" dxfId="9" priority="11" operator="equal">
      <formula>"não"</formula>
    </cfRule>
    <cfRule type="cellIs" dxfId="8" priority="12" operator="equal">
      <formula>"sim"</formula>
    </cfRule>
  </conditionalFormatting>
  <conditionalFormatting sqref="U273:U279 U281:U287">
    <cfRule type="cellIs" dxfId="7" priority="1" operator="equal">
      <formula>"não"</formula>
    </cfRule>
    <cfRule type="cellIs" dxfId="6" priority="2" operator="equal">
      <formula>"sim"</formula>
    </cfRule>
  </conditionalFormatting>
  <conditionalFormatting sqref="W2:X287">
    <cfRule type="cellIs" dxfId="5" priority="7" operator="equal">
      <formula>"sim"</formula>
    </cfRule>
    <cfRule type="cellIs" dxfId="4" priority="8" operator="equal">
      <formula>"não"</formula>
    </cfRule>
  </conditionalFormatting>
  <hyperlinks>
    <hyperlink ref="A247" r:id="rId1" xr:uid="{C811D928-7C93-4143-AA3F-C88FC4313D09}"/>
    <hyperlink ref="A248" r:id="rId2" display="https://gacotubo.sharepoint.com/sites/SESMTA/Documentos%20Compartilhados/Organizar/SESMT_v1/SESMT/Ocorr%C3%AAncia%20Indesejada/Gest%C3%A3o%202026/04%20RAT/2026.01.27%20Anderson%20da%20Concei%C3%A7%C3%A3o/A2026.01.27%20Anderson%20da%20Concei%C3%A7%C3%A3o.pdf" xr:uid="{F991651C-2CDC-4FCC-A33E-F7B17E4A23B6}"/>
    <hyperlink ref="A246" r:id="rId3" xr:uid="{C08C67AF-BD64-4B8B-A422-C14B2DF08596}"/>
    <hyperlink ref="A245" r:id="rId4" xr:uid="{6D8A450C-45F9-49C9-BF29-E5B13B3F08D9}"/>
    <hyperlink ref="A249" r:id="rId5" xr:uid="{0DDAC36D-D69A-41F0-A49E-72F8CD64826B}"/>
    <hyperlink ref="A250" r:id="rId6" xr:uid="{59432A32-D8C9-45CE-A4D9-B41E95D9D891}"/>
    <hyperlink ref="A252" r:id="rId7" xr:uid="{C95C2B15-A2E1-4498-91F4-7DC5A33C7A05}"/>
    <hyperlink ref="A253" r:id="rId8" xr:uid="{E5C5BB8E-8386-4CDB-986F-20338B52BA6A}"/>
    <hyperlink ref="A254" r:id="rId9" xr:uid="{5349ACEA-9041-403B-98D2-2E9A86ED3C53}"/>
    <hyperlink ref="A255" r:id="rId10" xr:uid="{A0C8577F-8D6C-49C1-B0C8-70A96FFFE4DC}"/>
    <hyperlink ref="A259" r:id="rId11" display="https://gacotubo.sharepoint.com/sites/SESMTA/Documentos%20Compartilhados/Organizar/SESMT_v1/SESMT/Ocorr%C3%AAncia%20Indesejada/Gest%C3%A3o%202026/04%20RAT/2026.03.16%20Jeferson%20dos%20Santos%20Medrado%20da%20Silva/A2026.03.16%20Jeferson%20dos%20Santos%20Medrado%20da%20Silva.pdf" xr:uid="{BAA59619-5978-4C5A-A623-B29836F58CA6}"/>
    <hyperlink ref="A263" r:id="rId12" xr:uid="{5988B960-BC32-4E79-BD7C-605CE49F3D56}"/>
    <hyperlink ref="A260" r:id="rId13" xr:uid="{94C1EBA0-8D8E-4B62-9E8A-60264510A33A}"/>
    <hyperlink ref="A261" r:id="rId14" display="https://gacotubo.sharepoint.com/sites/SESMTA/Documentos%20Compartilhados/Organizar/SESMT_v1/SESMT/Ocorr%C3%AAncia%20Indesejada/Gest%C3%A3o%202026/04%20RAT/2026.03.24%20Matheus%20da%20Cunha%20Assun%C3%A7%C3%A3o/A2026.03.24%20Matheus%20da%20Cunha%20Assun%C3%A7%C3%A3o.pdf" xr:uid="{B09B15CD-2BA9-4620-A411-49A7CAA07E8B}"/>
    <hyperlink ref="A262" r:id="rId15" xr:uid="{168769BF-7F89-4E58-99B2-C8A5A9F4E39A}"/>
    <hyperlink ref="A264" r:id="rId16" xr:uid="{00AEF67E-E861-40D4-8CDE-F94F2B6DA77C}"/>
    <hyperlink ref="A270" r:id="rId17" xr:uid="{CD5219DF-0DAC-48F4-BDBF-883351EDEBA1}"/>
    <hyperlink ref="A271" r:id="rId18" xr:uid="{EFF1429A-3A4F-4910-9543-56F63E7BB832}"/>
    <hyperlink ref="A269" r:id="rId19" xr:uid="{F7B0DF7C-E789-48F2-A40F-13DD3B753C72}"/>
    <hyperlink ref="A272" r:id="rId20" xr:uid="{0FB9A0B1-1F21-0344-910F-57B67E9A6288}"/>
    <hyperlink ref="A273" r:id="rId21" xr:uid="{3C97BF85-3713-684F-BCE9-A2CD950B20BD}"/>
    <hyperlink ref="A277" r:id="rId22" xr:uid="{27E333E4-233B-8243-A264-13B1906E564D}"/>
    <hyperlink ref="A278" r:id="rId23" xr:uid="{711153DA-54D6-CE48-946A-BA99EF3D6857}"/>
    <hyperlink ref="A279" r:id="rId24" xr:uid="{0DE2C892-F495-0049-A87E-8EC95134E18A}"/>
    <hyperlink ref="A280" r:id="rId25" xr:uid="{9462B51F-64A8-F94F-BD9B-D5AD91E4DBFB}"/>
    <hyperlink ref="A281" r:id="rId26" xr:uid="{16F3866B-BD04-684B-8FEF-84ACA739973F}"/>
    <hyperlink ref="A282" r:id="rId27" xr:uid="{9D713DAA-8B9C-F041-9ED1-FE34EB7746B6}"/>
    <hyperlink ref="A283" r:id="rId28" xr:uid="{0E4717E0-A1D0-4145-830E-B3D9E19A789D}"/>
    <hyperlink ref="A284" r:id="rId29" xr:uid="{DB3A0683-A277-E54D-AF5B-A3057222977C}"/>
    <hyperlink ref="A285" r:id="rId30" xr:uid="{82C92F9F-26CC-344B-B68C-5C0FDE2B53D0}"/>
    <hyperlink ref="A286" r:id="rId31" xr:uid="{0A911F02-9C0E-CB43-93A3-B92B32CC45DD}"/>
  </hyperlinks>
  <pageMargins left="0.511811024" right="0.511811024" top="0.78740157499999996" bottom="0.78740157499999996" header="0.31496062000000002" footer="0.31496062000000002"/>
  <pageSetup paperSize="9" orientation="landscape" horizontalDpi="1200" verticalDpi="0" r:id="rId32"/>
  <tableParts count="1">
    <tablePart r:id="rId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26BB-B946-480D-ABE5-6F42210C7FF6}">
  <dimension ref="A1:L81"/>
  <sheetViews>
    <sheetView showGridLines="0" view="pageBreakPreview" zoomScale="115" zoomScaleNormal="115" zoomScaleSheetLayoutView="115" workbookViewId="0">
      <selection activeCell="E65" sqref="E65"/>
    </sheetView>
  </sheetViews>
  <sheetFormatPr baseColWidth="10" defaultColWidth="25.83203125" defaultRowHeight="48" customHeight="1"/>
  <cols>
    <col min="1" max="1" width="9.6640625" style="14" bestFit="1" customWidth="1"/>
    <col min="2" max="2" width="26.83203125" style="14" bestFit="1" customWidth="1"/>
    <col min="3" max="3" width="8.1640625" style="14" bestFit="1" customWidth="1"/>
    <col min="4" max="4" width="11.1640625" style="14" bestFit="1" customWidth="1"/>
    <col min="5" max="5" width="14.6640625" style="14" bestFit="1" customWidth="1"/>
    <col min="6" max="7" width="10.1640625" style="14" bestFit="1" customWidth="1"/>
    <col min="8" max="8" width="11" style="15" bestFit="1" customWidth="1"/>
    <col min="9" max="10" width="40.6640625" style="13" customWidth="1"/>
    <col min="11" max="11" width="15.5" style="14" bestFit="1" customWidth="1"/>
    <col min="12" max="16384" width="25.83203125" style="14"/>
  </cols>
  <sheetData>
    <row r="1" spans="1:11" ht="17">
      <c r="A1" s="14" t="s">
        <v>589</v>
      </c>
      <c r="B1" s="14" t="s">
        <v>590</v>
      </c>
      <c r="C1" s="14" t="s">
        <v>2</v>
      </c>
      <c r="D1" s="14" t="s">
        <v>3</v>
      </c>
      <c r="E1" s="14" t="s">
        <v>6</v>
      </c>
      <c r="F1" s="14" t="s">
        <v>591</v>
      </c>
      <c r="G1" s="14" t="s">
        <v>595</v>
      </c>
      <c r="H1" s="15" t="s">
        <v>596</v>
      </c>
      <c r="I1" s="13" t="s">
        <v>597</v>
      </c>
      <c r="J1" s="13" t="s">
        <v>598</v>
      </c>
      <c r="K1" s="14" t="s">
        <v>599</v>
      </c>
    </row>
    <row r="2" spans="1:11" ht="48" customHeight="1">
      <c r="A2" s="14" t="s">
        <v>546</v>
      </c>
      <c r="B2" s="14" t="s">
        <v>547</v>
      </c>
      <c r="C2" s="26">
        <v>12423</v>
      </c>
      <c r="D2" s="16">
        <v>46028</v>
      </c>
      <c r="E2" s="14" t="s">
        <v>734</v>
      </c>
      <c r="F2" s="15">
        <v>1</v>
      </c>
      <c r="G2" s="14" t="s">
        <v>592</v>
      </c>
      <c r="H2" s="25" t="s">
        <v>593</v>
      </c>
      <c r="I2" s="13" t="s">
        <v>610</v>
      </c>
      <c r="J2" s="13" t="s">
        <v>594</v>
      </c>
      <c r="K2" s="17">
        <v>46030</v>
      </c>
    </row>
    <row r="3" spans="1:11" ht="48" customHeight="1">
      <c r="A3" s="14" t="s">
        <v>550</v>
      </c>
      <c r="B3" s="14" t="s">
        <v>551</v>
      </c>
      <c r="C3" s="26">
        <v>12285</v>
      </c>
      <c r="D3" s="16">
        <v>46029</v>
      </c>
      <c r="E3" s="14" t="s">
        <v>51</v>
      </c>
      <c r="F3" s="15">
        <v>1</v>
      </c>
      <c r="G3" s="14" t="s">
        <v>592</v>
      </c>
      <c r="H3" s="25" t="s">
        <v>593</v>
      </c>
      <c r="I3" s="13" t="s">
        <v>610</v>
      </c>
      <c r="J3" s="13" t="s">
        <v>600</v>
      </c>
      <c r="K3" s="17">
        <v>46028</v>
      </c>
    </row>
    <row r="4" spans="1:11" ht="48" customHeight="1">
      <c r="A4" s="14" t="s">
        <v>550</v>
      </c>
      <c r="B4" s="14" t="s">
        <v>551</v>
      </c>
      <c r="C4" s="26">
        <v>12285</v>
      </c>
      <c r="D4" s="16">
        <v>46029</v>
      </c>
      <c r="E4" s="14" t="s">
        <v>51</v>
      </c>
      <c r="F4" s="15">
        <v>3</v>
      </c>
      <c r="G4" s="14" t="s">
        <v>601</v>
      </c>
      <c r="H4" s="25" t="s">
        <v>593</v>
      </c>
      <c r="I4" s="13" t="s">
        <v>603</v>
      </c>
      <c r="J4" s="13" t="s">
        <v>659</v>
      </c>
      <c r="K4" s="17">
        <v>46087</v>
      </c>
    </row>
    <row r="5" spans="1:11" ht="48" customHeight="1">
      <c r="A5" s="14" t="s">
        <v>553</v>
      </c>
      <c r="B5" s="14" t="s">
        <v>581</v>
      </c>
      <c r="C5" s="26">
        <v>10870</v>
      </c>
      <c r="D5" s="16">
        <v>46031</v>
      </c>
      <c r="E5" s="14" t="s">
        <v>51</v>
      </c>
      <c r="F5" s="15">
        <v>1</v>
      </c>
      <c r="G5" s="14" t="s">
        <v>592</v>
      </c>
      <c r="H5" s="25" t="s">
        <v>593</v>
      </c>
      <c r="I5" s="13" t="s">
        <v>610</v>
      </c>
      <c r="J5" s="13" t="s">
        <v>594</v>
      </c>
      <c r="K5" s="17">
        <v>46034</v>
      </c>
    </row>
    <row r="6" spans="1:11" ht="48" customHeight="1">
      <c r="A6" s="14" t="s">
        <v>553</v>
      </c>
      <c r="B6" s="14" t="s">
        <v>581</v>
      </c>
      <c r="C6" s="26">
        <v>10870</v>
      </c>
      <c r="D6" s="16">
        <v>46031</v>
      </c>
      <c r="E6" s="14" t="s">
        <v>51</v>
      </c>
      <c r="F6" s="15">
        <v>2</v>
      </c>
      <c r="G6" s="14" t="s">
        <v>601</v>
      </c>
      <c r="H6" s="25" t="s">
        <v>593</v>
      </c>
      <c r="I6" s="13" t="s">
        <v>604</v>
      </c>
      <c r="J6" s="13" t="s">
        <v>605</v>
      </c>
      <c r="K6" s="17">
        <v>46080</v>
      </c>
    </row>
    <row r="7" spans="1:11" ht="48" customHeight="1">
      <c r="A7" s="14" t="s">
        <v>553</v>
      </c>
      <c r="B7" s="14" t="s">
        <v>581</v>
      </c>
      <c r="C7" s="26">
        <v>10870</v>
      </c>
      <c r="D7" s="16">
        <v>46031</v>
      </c>
      <c r="E7" s="14" t="s">
        <v>51</v>
      </c>
      <c r="F7" s="15">
        <v>3</v>
      </c>
      <c r="G7" s="14" t="s">
        <v>601</v>
      </c>
      <c r="H7" s="25" t="s">
        <v>593</v>
      </c>
      <c r="I7" s="13" t="s">
        <v>660</v>
      </c>
      <c r="J7" s="13" t="s">
        <v>661</v>
      </c>
      <c r="K7" s="17">
        <v>46073</v>
      </c>
    </row>
    <row r="8" spans="1:11" ht="48" customHeight="1">
      <c r="A8" s="14" t="s">
        <v>555</v>
      </c>
      <c r="B8" s="14" t="s">
        <v>556</v>
      </c>
      <c r="C8" s="26">
        <v>12410</v>
      </c>
      <c r="D8" s="16">
        <v>46049</v>
      </c>
      <c r="E8" s="14" t="s">
        <v>26</v>
      </c>
      <c r="F8" s="15">
        <v>1</v>
      </c>
      <c r="G8" s="14" t="s">
        <v>592</v>
      </c>
      <c r="H8" s="25" t="s">
        <v>593</v>
      </c>
      <c r="I8" s="13" t="s">
        <v>610</v>
      </c>
      <c r="J8" s="13" t="s">
        <v>594</v>
      </c>
      <c r="K8" s="17">
        <v>46050</v>
      </c>
    </row>
    <row r="9" spans="1:11" ht="48" customHeight="1">
      <c r="A9" s="14" t="s">
        <v>555</v>
      </c>
      <c r="B9" s="14" t="s">
        <v>556</v>
      </c>
      <c r="C9" s="26">
        <v>12410</v>
      </c>
      <c r="D9" s="16">
        <v>46049</v>
      </c>
      <c r="E9" s="14" t="s">
        <v>26</v>
      </c>
      <c r="F9" s="15">
        <v>2</v>
      </c>
      <c r="G9" s="14" t="s">
        <v>601</v>
      </c>
      <c r="H9" s="25" t="s">
        <v>602</v>
      </c>
      <c r="I9" s="13" t="s">
        <v>606</v>
      </c>
      <c r="J9" s="13" t="s">
        <v>607</v>
      </c>
      <c r="K9" s="17">
        <v>46073</v>
      </c>
    </row>
    <row r="10" spans="1:11" ht="48" customHeight="1">
      <c r="A10" s="14" t="s">
        <v>555</v>
      </c>
      <c r="B10" s="14" t="s">
        <v>556</v>
      </c>
      <c r="C10" s="26">
        <v>12410</v>
      </c>
      <c r="D10" s="16">
        <v>46049</v>
      </c>
      <c r="E10" s="14" t="s">
        <v>26</v>
      </c>
      <c r="F10" s="15">
        <v>3</v>
      </c>
      <c r="G10" s="14" t="s">
        <v>601</v>
      </c>
      <c r="H10" s="25" t="s">
        <v>602</v>
      </c>
      <c r="I10" s="13" t="s">
        <v>608</v>
      </c>
      <c r="J10" s="13" t="s">
        <v>609</v>
      </c>
      <c r="K10" s="17">
        <v>46073</v>
      </c>
    </row>
    <row r="11" spans="1:11" ht="48" customHeight="1">
      <c r="A11" s="14" t="s">
        <v>557</v>
      </c>
      <c r="B11" s="14" t="s">
        <v>572</v>
      </c>
      <c r="C11" s="26">
        <v>12238</v>
      </c>
      <c r="D11" s="16">
        <v>46065</v>
      </c>
      <c r="E11" s="14" t="s">
        <v>33</v>
      </c>
      <c r="F11" s="15">
        <v>1</v>
      </c>
      <c r="G11" s="14" t="s">
        <v>592</v>
      </c>
      <c r="H11" s="25" t="s">
        <v>593</v>
      </c>
      <c r="I11" s="13" t="s">
        <v>610</v>
      </c>
      <c r="J11" s="13" t="s">
        <v>611</v>
      </c>
      <c r="K11" s="17">
        <v>46070</v>
      </c>
    </row>
    <row r="12" spans="1:11" ht="48" customHeight="1">
      <c r="A12" s="14" t="s">
        <v>557</v>
      </c>
      <c r="B12" s="14" t="s">
        <v>572</v>
      </c>
      <c r="C12" s="26">
        <v>12238</v>
      </c>
      <c r="D12" s="16">
        <v>46065</v>
      </c>
      <c r="E12" s="14" t="s">
        <v>33</v>
      </c>
      <c r="F12" s="15">
        <v>2</v>
      </c>
      <c r="G12" s="14" t="s">
        <v>601</v>
      </c>
      <c r="H12" s="25" t="s">
        <v>602</v>
      </c>
      <c r="I12" s="13" t="s">
        <v>612</v>
      </c>
      <c r="J12" s="13" t="s">
        <v>613</v>
      </c>
      <c r="K12" s="17"/>
    </row>
    <row r="13" spans="1:11" ht="48" customHeight="1">
      <c r="A13" s="14" t="s">
        <v>557</v>
      </c>
      <c r="B13" s="14" t="s">
        <v>572</v>
      </c>
      <c r="C13" s="26">
        <v>12238</v>
      </c>
      <c r="D13" s="16">
        <v>46065</v>
      </c>
      <c r="E13" s="14" t="s">
        <v>33</v>
      </c>
      <c r="F13" s="15">
        <v>3</v>
      </c>
      <c r="G13" s="13" t="s">
        <v>618</v>
      </c>
      <c r="H13" s="25" t="s">
        <v>602</v>
      </c>
      <c r="I13" s="13" t="s">
        <v>614</v>
      </c>
      <c r="J13" s="13" t="s">
        <v>615</v>
      </c>
      <c r="K13" s="17"/>
    </row>
    <row r="14" spans="1:11" ht="48" customHeight="1">
      <c r="A14" s="14" t="s">
        <v>557</v>
      </c>
      <c r="B14" s="14" t="s">
        <v>572</v>
      </c>
      <c r="C14" s="26">
        <v>12238</v>
      </c>
      <c r="D14" s="16">
        <v>46065</v>
      </c>
      <c r="E14" s="14" t="s">
        <v>33</v>
      </c>
      <c r="F14" s="15">
        <v>4</v>
      </c>
      <c r="G14" s="13" t="s">
        <v>619</v>
      </c>
      <c r="H14" s="25" t="s">
        <v>602</v>
      </c>
      <c r="I14" s="13" t="s">
        <v>616</v>
      </c>
      <c r="J14" s="13" t="s">
        <v>617</v>
      </c>
      <c r="K14" s="17"/>
    </row>
    <row r="15" spans="1:11" ht="48" customHeight="1">
      <c r="A15" s="14" t="s">
        <v>558</v>
      </c>
      <c r="B15" s="14" t="s">
        <v>559</v>
      </c>
      <c r="C15" s="26">
        <v>11113</v>
      </c>
      <c r="D15" s="16">
        <v>46071</v>
      </c>
      <c r="E15" s="14" t="s">
        <v>26</v>
      </c>
      <c r="F15" s="15">
        <v>1</v>
      </c>
      <c r="G15" s="14" t="s">
        <v>592</v>
      </c>
      <c r="H15" s="25" t="s">
        <v>593</v>
      </c>
      <c r="I15" s="13" t="s">
        <v>610</v>
      </c>
      <c r="J15" s="13" t="s">
        <v>621</v>
      </c>
      <c r="K15" s="17">
        <v>46073</v>
      </c>
    </row>
    <row r="16" spans="1:11" ht="48" customHeight="1">
      <c r="A16" s="14" t="s">
        <v>558</v>
      </c>
      <c r="B16" s="14" t="s">
        <v>559</v>
      </c>
      <c r="C16" s="26">
        <v>11113</v>
      </c>
      <c r="D16" s="16">
        <v>46071</v>
      </c>
      <c r="E16" s="14" t="s">
        <v>26</v>
      </c>
      <c r="F16" s="15">
        <v>2</v>
      </c>
      <c r="G16" s="14" t="s">
        <v>601</v>
      </c>
      <c r="H16" s="25" t="s">
        <v>602</v>
      </c>
      <c r="I16" s="13" t="s">
        <v>622</v>
      </c>
      <c r="J16" s="13" t="s">
        <v>623</v>
      </c>
      <c r="K16" s="17"/>
    </row>
    <row r="17" spans="1:11" ht="48" customHeight="1">
      <c r="A17" s="14" t="s">
        <v>558</v>
      </c>
      <c r="B17" s="14" t="s">
        <v>559</v>
      </c>
      <c r="C17" s="26">
        <v>11113</v>
      </c>
      <c r="D17" s="16">
        <v>46071</v>
      </c>
      <c r="E17" s="14" t="s">
        <v>26</v>
      </c>
      <c r="F17" s="15">
        <v>3</v>
      </c>
      <c r="G17" s="13" t="s">
        <v>620</v>
      </c>
      <c r="H17" s="25" t="s">
        <v>602</v>
      </c>
      <c r="I17" s="13" t="s">
        <v>624</v>
      </c>
      <c r="J17" s="13" t="s">
        <v>625</v>
      </c>
      <c r="K17" s="17"/>
    </row>
    <row r="18" spans="1:11" ht="48" customHeight="1">
      <c r="A18" s="14" t="s">
        <v>560</v>
      </c>
      <c r="B18" s="14" t="s">
        <v>561</v>
      </c>
      <c r="C18" s="26">
        <v>10910</v>
      </c>
      <c r="D18" s="16">
        <v>46071</v>
      </c>
      <c r="E18" s="14" t="s">
        <v>51</v>
      </c>
      <c r="F18" s="15">
        <v>1</v>
      </c>
      <c r="G18" s="14" t="s">
        <v>592</v>
      </c>
      <c r="H18" s="25" t="s">
        <v>593</v>
      </c>
      <c r="I18" s="13" t="s">
        <v>610</v>
      </c>
      <c r="J18" s="13" t="s">
        <v>626</v>
      </c>
      <c r="K18" s="17">
        <v>46076</v>
      </c>
    </row>
    <row r="19" spans="1:11" ht="48" customHeight="1">
      <c r="A19" s="14" t="s">
        <v>560</v>
      </c>
      <c r="B19" s="14" t="s">
        <v>561</v>
      </c>
      <c r="C19" s="26">
        <v>10910</v>
      </c>
      <c r="D19" s="16">
        <v>46071</v>
      </c>
      <c r="E19" s="14" t="s">
        <v>51</v>
      </c>
      <c r="F19" s="15">
        <v>2</v>
      </c>
      <c r="G19" s="13" t="s">
        <v>620</v>
      </c>
      <c r="H19" s="25" t="s">
        <v>593</v>
      </c>
      <c r="I19" s="13" t="s">
        <v>610</v>
      </c>
      <c r="J19" s="13" t="s">
        <v>628</v>
      </c>
      <c r="K19" s="17">
        <v>46108</v>
      </c>
    </row>
    <row r="20" spans="1:11" ht="48" customHeight="1">
      <c r="A20" s="14" t="s">
        <v>560</v>
      </c>
      <c r="B20" s="14" t="s">
        <v>561</v>
      </c>
      <c r="C20" s="26">
        <v>10910</v>
      </c>
      <c r="D20" s="16">
        <v>46071</v>
      </c>
      <c r="E20" s="14" t="s">
        <v>51</v>
      </c>
      <c r="F20" s="15">
        <v>3</v>
      </c>
      <c r="G20" s="13" t="s">
        <v>620</v>
      </c>
      <c r="H20" s="25" t="s">
        <v>602</v>
      </c>
      <c r="I20" s="13" t="s">
        <v>629</v>
      </c>
      <c r="J20" s="13" t="s">
        <v>630</v>
      </c>
      <c r="K20" s="17">
        <v>46139</v>
      </c>
    </row>
    <row r="21" spans="1:11" ht="48" customHeight="1">
      <c r="A21" s="14" t="s">
        <v>562</v>
      </c>
      <c r="B21" s="14" t="s">
        <v>529</v>
      </c>
      <c r="C21" s="26">
        <v>10313</v>
      </c>
      <c r="D21" s="16">
        <v>46071</v>
      </c>
      <c r="E21" s="14" t="s">
        <v>51</v>
      </c>
      <c r="F21" s="15">
        <v>1</v>
      </c>
      <c r="G21" s="14" t="s">
        <v>592</v>
      </c>
      <c r="H21" s="25" t="s">
        <v>593</v>
      </c>
      <c r="I21" s="13" t="s">
        <v>610</v>
      </c>
      <c r="J21" s="13" t="s">
        <v>631</v>
      </c>
      <c r="K21" s="17">
        <v>46072</v>
      </c>
    </row>
    <row r="22" spans="1:11" ht="48" customHeight="1">
      <c r="A22" s="14" t="s">
        <v>562</v>
      </c>
      <c r="B22" s="14" t="s">
        <v>529</v>
      </c>
      <c r="C22" s="26">
        <v>10313</v>
      </c>
      <c r="D22" s="16">
        <v>46071</v>
      </c>
      <c r="E22" s="14" t="s">
        <v>51</v>
      </c>
      <c r="F22" s="15">
        <v>2</v>
      </c>
      <c r="G22" s="14" t="s">
        <v>592</v>
      </c>
      <c r="H22" s="25" t="s">
        <v>593</v>
      </c>
      <c r="I22" s="13" t="s">
        <v>632</v>
      </c>
      <c r="J22" s="13" t="s">
        <v>633</v>
      </c>
      <c r="K22" s="17">
        <v>46108</v>
      </c>
    </row>
    <row r="23" spans="1:11" ht="48" customHeight="1">
      <c r="A23" s="14" t="s">
        <v>562</v>
      </c>
      <c r="B23" s="14" t="s">
        <v>529</v>
      </c>
      <c r="C23" s="26">
        <v>10313</v>
      </c>
      <c r="D23" s="16">
        <v>46071</v>
      </c>
      <c r="E23" s="14" t="s">
        <v>51</v>
      </c>
      <c r="F23" s="15">
        <v>3</v>
      </c>
      <c r="G23" s="14" t="s">
        <v>182</v>
      </c>
      <c r="H23" s="25" t="s">
        <v>593</v>
      </c>
      <c r="I23" s="13" t="s">
        <v>634</v>
      </c>
      <c r="J23" s="13" t="s">
        <v>635</v>
      </c>
      <c r="K23" s="17">
        <v>46108</v>
      </c>
    </row>
    <row r="24" spans="1:11" ht="48" customHeight="1">
      <c r="A24" s="14" t="s">
        <v>562</v>
      </c>
      <c r="B24" s="14" t="s">
        <v>529</v>
      </c>
      <c r="C24" s="26">
        <v>10313</v>
      </c>
      <c r="D24" s="16">
        <v>46071</v>
      </c>
      <c r="E24" s="14" t="s">
        <v>51</v>
      </c>
      <c r="F24" s="15">
        <v>4</v>
      </c>
      <c r="G24" s="13" t="s">
        <v>620</v>
      </c>
      <c r="H24" s="25" t="s">
        <v>602</v>
      </c>
      <c r="I24" s="13" t="s">
        <v>636</v>
      </c>
      <c r="J24" s="13" t="s">
        <v>662</v>
      </c>
      <c r="K24" s="17">
        <v>46108</v>
      </c>
    </row>
    <row r="25" spans="1:11" ht="48" customHeight="1">
      <c r="A25" s="14" t="s">
        <v>563</v>
      </c>
      <c r="B25" s="14" t="s">
        <v>152</v>
      </c>
      <c r="C25" s="26">
        <v>8962</v>
      </c>
      <c r="D25" s="16">
        <v>46072</v>
      </c>
      <c r="E25" s="14" t="s">
        <v>51</v>
      </c>
      <c r="F25" s="15">
        <v>1</v>
      </c>
      <c r="G25" s="14" t="s">
        <v>592</v>
      </c>
      <c r="H25" s="25" t="s">
        <v>593</v>
      </c>
      <c r="I25" s="13" t="s">
        <v>610</v>
      </c>
      <c r="J25" s="13" t="s">
        <v>627</v>
      </c>
      <c r="K25" s="17">
        <v>46079</v>
      </c>
    </row>
    <row r="26" spans="1:11" ht="48" customHeight="1">
      <c r="A26" s="14" t="s">
        <v>563</v>
      </c>
      <c r="B26" s="14" t="s">
        <v>152</v>
      </c>
      <c r="C26" s="26">
        <v>8962</v>
      </c>
      <c r="D26" s="16">
        <v>46072</v>
      </c>
      <c r="E26" s="14" t="s">
        <v>51</v>
      </c>
      <c r="F26" s="15">
        <v>2</v>
      </c>
      <c r="G26" s="14" t="s">
        <v>592</v>
      </c>
      <c r="H26" s="25" t="s">
        <v>593</v>
      </c>
      <c r="I26" s="13" t="s">
        <v>637</v>
      </c>
      <c r="J26" s="13" t="s">
        <v>638</v>
      </c>
      <c r="K26" s="17">
        <v>46185</v>
      </c>
    </row>
    <row r="27" spans="1:11" ht="48" customHeight="1">
      <c r="A27" s="14" t="s">
        <v>564</v>
      </c>
      <c r="B27" s="14" t="s">
        <v>341</v>
      </c>
      <c r="C27" s="26">
        <v>11127</v>
      </c>
      <c r="D27" s="16">
        <v>46073</v>
      </c>
      <c r="E27" s="14" t="s">
        <v>51</v>
      </c>
      <c r="F27" s="15">
        <v>1</v>
      </c>
      <c r="G27" s="14" t="s">
        <v>592</v>
      </c>
      <c r="H27" s="25" t="s">
        <v>593</v>
      </c>
      <c r="I27" s="13" t="s">
        <v>610</v>
      </c>
      <c r="J27" s="13" t="s">
        <v>639</v>
      </c>
      <c r="K27" s="17">
        <v>46076</v>
      </c>
    </row>
    <row r="28" spans="1:11" ht="48" customHeight="1">
      <c r="A28" s="14" t="s">
        <v>564</v>
      </c>
      <c r="B28" s="14" t="s">
        <v>341</v>
      </c>
      <c r="C28" s="26">
        <v>11127</v>
      </c>
      <c r="D28" s="16">
        <v>46073</v>
      </c>
      <c r="E28" s="14" t="s">
        <v>51</v>
      </c>
      <c r="F28" s="15">
        <v>2</v>
      </c>
      <c r="G28" s="14" t="s">
        <v>601</v>
      </c>
      <c r="H28" s="25" t="s">
        <v>602</v>
      </c>
      <c r="I28" s="13" t="s">
        <v>640</v>
      </c>
      <c r="J28" s="13" t="s">
        <v>641</v>
      </c>
      <c r="K28" s="17"/>
    </row>
    <row r="29" spans="1:11" ht="48" customHeight="1">
      <c r="A29" s="14" t="s">
        <v>564</v>
      </c>
      <c r="B29" s="14" t="s">
        <v>341</v>
      </c>
      <c r="C29" s="26">
        <v>11127</v>
      </c>
      <c r="D29" s="16">
        <v>46073</v>
      </c>
      <c r="E29" s="14" t="s">
        <v>51</v>
      </c>
      <c r="F29" s="15">
        <v>3</v>
      </c>
      <c r="G29" s="13" t="s">
        <v>620</v>
      </c>
      <c r="H29" s="25" t="s">
        <v>602</v>
      </c>
      <c r="I29" s="13" t="s">
        <v>642</v>
      </c>
      <c r="J29" s="13" t="s">
        <v>643</v>
      </c>
      <c r="K29" s="17">
        <v>46080</v>
      </c>
    </row>
    <row r="30" spans="1:11" ht="48" customHeight="1">
      <c r="A30" s="14" t="s">
        <v>565</v>
      </c>
      <c r="B30" s="14" t="s">
        <v>566</v>
      </c>
      <c r="C30" s="26">
        <v>12595</v>
      </c>
      <c r="D30" s="16">
        <v>46073</v>
      </c>
      <c r="E30" s="14" t="s">
        <v>33</v>
      </c>
      <c r="F30" s="15">
        <v>1</v>
      </c>
      <c r="G30" s="14" t="s">
        <v>592</v>
      </c>
      <c r="H30" s="25" t="s">
        <v>593</v>
      </c>
      <c r="I30" s="13" t="s">
        <v>610</v>
      </c>
      <c r="J30" s="13" t="s">
        <v>644</v>
      </c>
      <c r="K30" s="17">
        <v>46076</v>
      </c>
    </row>
    <row r="31" spans="1:11" ht="48" customHeight="1">
      <c r="A31" s="14" t="s">
        <v>565</v>
      </c>
      <c r="B31" s="14" t="s">
        <v>566</v>
      </c>
      <c r="C31" s="26">
        <v>12595</v>
      </c>
      <c r="D31" s="16">
        <v>46073</v>
      </c>
      <c r="E31" s="14" t="s">
        <v>33</v>
      </c>
      <c r="F31" s="15">
        <v>2</v>
      </c>
      <c r="G31" s="14" t="s">
        <v>601</v>
      </c>
      <c r="H31" s="25" t="s">
        <v>602</v>
      </c>
      <c r="I31" s="13" t="s">
        <v>645</v>
      </c>
      <c r="J31" s="13" t="s">
        <v>646</v>
      </c>
      <c r="K31" s="17"/>
    </row>
    <row r="32" spans="1:11" ht="48" customHeight="1">
      <c r="A32" s="14" t="s">
        <v>569</v>
      </c>
      <c r="B32" s="14" t="s">
        <v>567</v>
      </c>
      <c r="C32" s="26">
        <v>10185</v>
      </c>
      <c r="D32" s="16">
        <v>46076</v>
      </c>
      <c r="E32" s="14" t="s">
        <v>33</v>
      </c>
      <c r="F32" s="15">
        <v>1</v>
      </c>
      <c r="G32" s="14" t="s">
        <v>592</v>
      </c>
      <c r="H32" s="25" t="s">
        <v>602</v>
      </c>
      <c r="I32" s="13" t="s">
        <v>610</v>
      </c>
      <c r="J32" s="13" t="s">
        <v>644</v>
      </c>
      <c r="K32" s="17">
        <v>46080</v>
      </c>
    </row>
    <row r="33" spans="1:11" ht="48" customHeight="1">
      <c r="A33" s="14" t="s">
        <v>569</v>
      </c>
      <c r="B33" s="14" t="s">
        <v>567</v>
      </c>
      <c r="C33" s="26">
        <v>10185</v>
      </c>
      <c r="D33" s="16">
        <v>46076</v>
      </c>
      <c r="E33" s="14" t="s">
        <v>33</v>
      </c>
      <c r="F33" s="15">
        <v>2</v>
      </c>
      <c r="G33" s="14" t="s">
        <v>601</v>
      </c>
      <c r="H33" s="25" t="s">
        <v>602</v>
      </c>
      <c r="I33" s="13" t="s">
        <v>645</v>
      </c>
      <c r="J33" s="13" t="s">
        <v>646</v>
      </c>
      <c r="K33" s="17"/>
    </row>
    <row r="34" spans="1:11" ht="48" customHeight="1">
      <c r="A34" s="14" t="s">
        <v>569</v>
      </c>
      <c r="B34" s="14" t="s">
        <v>567</v>
      </c>
      <c r="C34" s="26">
        <v>10185</v>
      </c>
      <c r="D34" s="16">
        <v>46076</v>
      </c>
      <c r="E34" s="14" t="s">
        <v>33</v>
      </c>
      <c r="F34" s="15">
        <v>3</v>
      </c>
      <c r="G34" s="14" t="s">
        <v>601</v>
      </c>
      <c r="H34" s="25" t="s">
        <v>602</v>
      </c>
      <c r="I34" s="13" t="s">
        <v>647</v>
      </c>
      <c r="J34" s="13" t="s">
        <v>648</v>
      </c>
      <c r="K34" s="17"/>
    </row>
    <row r="35" spans="1:11" ht="48" customHeight="1">
      <c r="A35" s="14" t="s">
        <v>570</v>
      </c>
      <c r="B35" s="14" t="s">
        <v>568</v>
      </c>
      <c r="C35" s="26">
        <v>12270</v>
      </c>
      <c r="D35" s="16">
        <v>46076</v>
      </c>
      <c r="E35" s="14" t="s">
        <v>735</v>
      </c>
      <c r="F35" s="15">
        <v>1</v>
      </c>
      <c r="G35" s="14" t="s">
        <v>592</v>
      </c>
      <c r="H35" s="25" t="s">
        <v>593</v>
      </c>
      <c r="I35" s="13" t="s">
        <v>610</v>
      </c>
      <c r="J35" s="13" t="s">
        <v>649</v>
      </c>
      <c r="K35" s="17">
        <v>46079</v>
      </c>
    </row>
    <row r="36" spans="1:11" ht="48" customHeight="1">
      <c r="A36" s="14" t="s">
        <v>570</v>
      </c>
      <c r="B36" s="14" t="s">
        <v>568</v>
      </c>
      <c r="C36" s="26">
        <v>12270</v>
      </c>
      <c r="D36" s="16">
        <v>46076</v>
      </c>
      <c r="E36" s="14" t="s">
        <v>735</v>
      </c>
      <c r="F36" s="15">
        <v>2</v>
      </c>
      <c r="G36" s="14" t="s">
        <v>601</v>
      </c>
      <c r="H36" s="25" t="s">
        <v>602</v>
      </c>
      <c r="I36" s="13" t="s">
        <v>650</v>
      </c>
      <c r="J36" s="13" t="s">
        <v>651</v>
      </c>
      <c r="K36" s="17"/>
    </row>
    <row r="37" spans="1:11" ht="48" customHeight="1">
      <c r="A37" s="14" t="s">
        <v>585</v>
      </c>
      <c r="B37" s="14" t="s">
        <v>586</v>
      </c>
      <c r="C37" s="26">
        <v>11801</v>
      </c>
      <c r="D37" s="16">
        <v>46079</v>
      </c>
      <c r="E37" s="14" t="s">
        <v>39</v>
      </c>
      <c r="F37" s="15">
        <v>1</v>
      </c>
      <c r="G37" s="14" t="s">
        <v>592</v>
      </c>
      <c r="H37" s="25" t="s">
        <v>593</v>
      </c>
      <c r="I37" s="13" t="s">
        <v>610</v>
      </c>
      <c r="J37" s="13" t="s">
        <v>652</v>
      </c>
      <c r="K37" s="17">
        <v>46083</v>
      </c>
    </row>
    <row r="38" spans="1:11" ht="48" customHeight="1">
      <c r="A38" s="14" t="s">
        <v>585</v>
      </c>
      <c r="B38" s="14" t="s">
        <v>586</v>
      </c>
      <c r="C38" s="26">
        <v>11801</v>
      </c>
      <c r="D38" s="16">
        <v>46079</v>
      </c>
      <c r="E38" s="14" t="s">
        <v>39</v>
      </c>
      <c r="F38" s="15">
        <v>2</v>
      </c>
      <c r="G38" s="14" t="s">
        <v>592</v>
      </c>
      <c r="H38" s="25" t="s">
        <v>593</v>
      </c>
      <c r="I38" s="13" t="s">
        <v>653</v>
      </c>
      <c r="J38" s="13" t="s">
        <v>654</v>
      </c>
      <c r="K38" s="17">
        <v>46083</v>
      </c>
    </row>
    <row r="39" spans="1:11" ht="48" customHeight="1">
      <c r="A39" s="14" t="s">
        <v>585</v>
      </c>
      <c r="B39" s="14" t="s">
        <v>586</v>
      </c>
      <c r="C39" s="26">
        <v>11801</v>
      </c>
      <c r="D39" s="16">
        <v>46079</v>
      </c>
      <c r="E39" s="14" t="s">
        <v>39</v>
      </c>
      <c r="F39" s="15">
        <v>3</v>
      </c>
      <c r="G39" s="14" t="s">
        <v>601</v>
      </c>
      <c r="H39" s="25" t="s">
        <v>593</v>
      </c>
      <c r="I39" s="13" t="s">
        <v>655</v>
      </c>
      <c r="J39" s="13" t="s">
        <v>656</v>
      </c>
      <c r="K39" s="17">
        <v>46093</v>
      </c>
    </row>
    <row r="40" spans="1:11" ht="48" customHeight="1">
      <c r="A40" s="14" t="s">
        <v>585</v>
      </c>
      <c r="B40" s="14" t="s">
        <v>586</v>
      </c>
      <c r="C40" s="26">
        <v>11801</v>
      </c>
      <c r="D40" s="16">
        <v>46079</v>
      </c>
      <c r="E40" s="14" t="s">
        <v>39</v>
      </c>
      <c r="F40" s="15">
        <v>4</v>
      </c>
      <c r="G40" s="14" t="s">
        <v>601</v>
      </c>
      <c r="H40" s="25" t="s">
        <v>602</v>
      </c>
      <c r="I40" s="13" t="s">
        <v>657</v>
      </c>
      <c r="J40" s="13" t="s">
        <v>658</v>
      </c>
      <c r="K40" s="17"/>
    </row>
    <row r="41" spans="1:11" ht="48" customHeight="1">
      <c r="A41" s="14" t="s">
        <v>663</v>
      </c>
      <c r="B41" s="14" t="s">
        <v>706</v>
      </c>
      <c r="C41" s="26">
        <v>12604</v>
      </c>
      <c r="D41" s="16">
        <v>46069</v>
      </c>
      <c r="E41" s="14" t="s">
        <v>26</v>
      </c>
      <c r="F41" s="15">
        <v>1</v>
      </c>
      <c r="G41" s="14" t="s">
        <v>592</v>
      </c>
      <c r="H41" s="25" t="s">
        <v>593</v>
      </c>
      <c r="I41" s="13" t="s">
        <v>700</v>
      </c>
      <c r="J41" s="13" t="s">
        <v>701</v>
      </c>
      <c r="K41" s="17">
        <v>46098</v>
      </c>
    </row>
    <row r="42" spans="1:11" ht="48" customHeight="1">
      <c r="A42" s="14" t="s">
        <v>663</v>
      </c>
      <c r="B42" s="14" t="s">
        <v>706</v>
      </c>
      <c r="C42" s="26">
        <v>12604</v>
      </c>
      <c r="D42" s="16">
        <v>46069</v>
      </c>
      <c r="E42" s="14" t="s">
        <v>26</v>
      </c>
      <c r="F42" s="15">
        <v>2</v>
      </c>
      <c r="G42" s="14" t="s">
        <v>592</v>
      </c>
      <c r="H42" s="25" t="s">
        <v>602</v>
      </c>
      <c r="I42" s="13" t="s">
        <v>702</v>
      </c>
      <c r="J42" s="13" t="s">
        <v>703</v>
      </c>
      <c r="K42" s="17">
        <v>46108</v>
      </c>
    </row>
    <row r="43" spans="1:11" ht="48" customHeight="1">
      <c r="A43" s="14" t="s">
        <v>663</v>
      </c>
      <c r="B43" s="14" t="s">
        <v>706</v>
      </c>
      <c r="C43" s="26">
        <v>12604</v>
      </c>
      <c r="D43" s="16">
        <v>46069</v>
      </c>
      <c r="E43" s="14" t="s">
        <v>26</v>
      </c>
      <c r="F43" s="15">
        <v>3</v>
      </c>
      <c r="G43" s="14" t="s">
        <v>592</v>
      </c>
      <c r="H43" s="25" t="s">
        <v>602</v>
      </c>
      <c r="I43" s="13" t="s">
        <v>704</v>
      </c>
      <c r="J43" s="13" t="s">
        <v>705</v>
      </c>
      <c r="K43" s="17">
        <v>46108</v>
      </c>
    </row>
    <row r="44" spans="1:11" ht="48" customHeight="1">
      <c r="A44" s="14" t="s">
        <v>665</v>
      </c>
      <c r="B44" s="14" t="s">
        <v>715</v>
      </c>
      <c r="C44" s="26">
        <v>12423</v>
      </c>
      <c r="D44" s="16">
        <v>46101</v>
      </c>
      <c r="E44" s="14" t="s">
        <v>734</v>
      </c>
      <c r="F44" s="15">
        <v>1</v>
      </c>
      <c r="G44" s="14" t="s">
        <v>592</v>
      </c>
      <c r="H44" s="25" t="s">
        <v>593</v>
      </c>
      <c r="I44" s="13" t="s">
        <v>707</v>
      </c>
      <c r="J44" s="13" t="s">
        <v>708</v>
      </c>
      <c r="K44" s="17">
        <v>46105</v>
      </c>
    </row>
    <row r="45" spans="1:11" ht="48" customHeight="1">
      <c r="A45" s="14" t="s">
        <v>665</v>
      </c>
      <c r="B45" s="14" t="s">
        <v>715</v>
      </c>
      <c r="C45" s="26">
        <v>12423</v>
      </c>
      <c r="D45" s="16">
        <v>46101</v>
      </c>
      <c r="E45" s="14" t="s">
        <v>734</v>
      </c>
      <c r="F45" s="15">
        <v>2</v>
      </c>
      <c r="G45" s="14" t="s">
        <v>601</v>
      </c>
      <c r="H45" s="25" t="s">
        <v>602</v>
      </c>
      <c r="I45" s="13" t="s">
        <v>709</v>
      </c>
      <c r="J45" s="13" t="s">
        <v>710</v>
      </c>
      <c r="K45" s="17"/>
    </row>
    <row r="46" spans="1:11" ht="48" customHeight="1">
      <c r="A46" s="14" t="s">
        <v>665</v>
      </c>
      <c r="B46" s="14" t="s">
        <v>715</v>
      </c>
      <c r="C46" s="26">
        <v>12423</v>
      </c>
      <c r="D46" s="16">
        <v>46101</v>
      </c>
      <c r="E46" s="14" t="s">
        <v>734</v>
      </c>
      <c r="F46" s="15">
        <v>3</v>
      </c>
      <c r="G46" s="14" t="s">
        <v>601</v>
      </c>
      <c r="H46" s="25" t="s">
        <v>602</v>
      </c>
      <c r="I46" s="13" t="s">
        <v>711</v>
      </c>
      <c r="J46" s="13" t="s">
        <v>712</v>
      </c>
      <c r="K46" s="17"/>
    </row>
    <row r="47" spans="1:11" ht="48" customHeight="1">
      <c r="A47" s="14" t="s">
        <v>665</v>
      </c>
      <c r="B47" s="14" t="s">
        <v>715</v>
      </c>
      <c r="C47" s="26">
        <v>12423</v>
      </c>
      <c r="D47" s="16">
        <v>46101</v>
      </c>
      <c r="E47" s="14" t="s">
        <v>734</v>
      </c>
      <c r="F47" s="15">
        <v>4</v>
      </c>
      <c r="G47" s="14" t="s">
        <v>601</v>
      </c>
      <c r="H47" s="25" t="s">
        <v>602</v>
      </c>
      <c r="I47" s="13" t="s">
        <v>713</v>
      </c>
      <c r="J47" s="13" t="s">
        <v>714</v>
      </c>
      <c r="K47" s="17"/>
    </row>
    <row r="48" spans="1:11" ht="48" customHeight="1">
      <c r="A48" s="14" t="s">
        <v>666</v>
      </c>
      <c r="B48" s="14" t="s">
        <v>716</v>
      </c>
      <c r="C48" s="26">
        <v>12553</v>
      </c>
      <c r="D48" s="16">
        <v>46105</v>
      </c>
      <c r="E48" s="14" t="s">
        <v>734</v>
      </c>
      <c r="F48" s="15">
        <v>1</v>
      </c>
      <c r="G48" s="14" t="s">
        <v>592</v>
      </c>
      <c r="H48" s="25" t="s">
        <v>593</v>
      </c>
      <c r="I48" s="13" t="s">
        <v>610</v>
      </c>
      <c r="J48" s="13" t="s">
        <v>717</v>
      </c>
      <c r="K48" s="17">
        <v>46107</v>
      </c>
    </row>
    <row r="49" spans="1:11" ht="48" customHeight="1">
      <c r="A49" s="14" t="s">
        <v>666</v>
      </c>
      <c r="B49" s="14" t="s">
        <v>716</v>
      </c>
      <c r="C49" s="26">
        <v>12553</v>
      </c>
      <c r="D49" s="16">
        <v>46105</v>
      </c>
      <c r="E49" s="14" t="s">
        <v>734</v>
      </c>
      <c r="F49" s="15">
        <v>2</v>
      </c>
      <c r="G49" s="14" t="s">
        <v>601</v>
      </c>
      <c r="H49" s="25" t="s">
        <v>602</v>
      </c>
      <c r="I49" s="13" t="s">
        <v>709</v>
      </c>
      <c r="J49" s="13" t="s">
        <v>710</v>
      </c>
      <c r="K49" s="17"/>
    </row>
    <row r="50" spans="1:11" ht="48" customHeight="1">
      <c r="A50" s="14" t="s">
        <v>666</v>
      </c>
      <c r="B50" s="14" t="s">
        <v>716</v>
      </c>
      <c r="C50" s="26">
        <v>12553</v>
      </c>
      <c r="D50" s="16">
        <v>46105</v>
      </c>
      <c r="E50" s="14" t="s">
        <v>734</v>
      </c>
      <c r="F50" s="15">
        <v>3</v>
      </c>
      <c r="G50" s="14" t="s">
        <v>601</v>
      </c>
      <c r="H50" s="25" t="s">
        <v>602</v>
      </c>
      <c r="I50" s="13" t="s">
        <v>711</v>
      </c>
      <c r="J50" s="13" t="s">
        <v>712</v>
      </c>
      <c r="K50" s="17"/>
    </row>
    <row r="51" spans="1:11" ht="48" customHeight="1">
      <c r="A51" s="14" t="s">
        <v>666</v>
      </c>
      <c r="B51" s="14" t="s">
        <v>716</v>
      </c>
      <c r="C51" s="26">
        <v>12553</v>
      </c>
      <c r="D51" s="16">
        <v>46105</v>
      </c>
      <c r="E51" s="14" t="s">
        <v>734</v>
      </c>
      <c r="F51" s="15">
        <v>4</v>
      </c>
      <c r="G51" s="14" t="s">
        <v>601</v>
      </c>
      <c r="H51" s="25" t="s">
        <v>602</v>
      </c>
      <c r="I51" s="13" t="s">
        <v>713</v>
      </c>
      <c r="J51" s="13" t="s">
        <v>714</v>
      </c>
      <c r="K51" s="17"/>
    </row>
    <row r="52" spans="1:11" ht="48" customHeight="1">
      <c r="A52" s="14" t="s">
        <v>669</v>
      </c>
      <c r="B52" s="14" t="s">
        <v>667</v>
      </c>
      <c r="C52" s="26">
        <v>12633</v>
      </c>
      <c r="D52" s="16">
        <v>46105</v>
      </c>
      <c r="E52" s="14" t="s">
        <v>734</v>
      </c>
      <c r="F52" s="15">
        <v>1</v>
      </c>
      <c r="G52" s="14" t="s">
        <v>592</v>
      </c>
      <c r="H52" s="25" t="s">
        <v>593</v>
      </c>
      <c r="I52" s="13" t="s">
        <v>610</v>
      </c>
      <c r="J52" s="13" t="s">
        <v>718</v>
      </c>
      <c r="K52" s="17">
        <v>46106</v>
      </c>
    </row>
    <row r="53" spans="1:11" ht="48" customHeight="1">
      <c r="A53" s="14" t="s">
        <v>669</v>
      </c>
      <c r="B53" s="14" t="s">
        <v>667</v>
      </c>
      <c r="C53" s="26">
        <v>12633</v>
      </c>
      <c r="D53" s="16">
        <v>46105</v>
      </c>
      <c r="E53" s="14" t="s">
        <v>51</v>
      </c>
      <c r="F53" s="15">
        <v>2</v>
      </c>
      <c r="G53" s="14" t="s">
        <v>592</v>
      </c>
      <c r="H53" s="25" t="s">
        <v>602</v>
      </c>
      <c r="I53" s="13" t="s">
        <v>702</v>
      </c>
      <c r="J53" s="13" t="s">
        <v>703</v>
      </c>
      <c r="K53" s="17">
        <v>46127</v>
      </c>
    </row>
    <row r="54" spans="1:11" ht="48" customHeight="1">
      <c r="A54" s="14" t="s">
        <v>669</v>
      </c>
      <c r="B54" s="14" t="s">
        <v>667</v>
      </c>
      <c r="C54" s="26">
        <v>12633</v>
      </c>
      <c r="D54" s="16">
        <v>46105</v>
      </c>
      <c r="E54" s="14" t="s">
        <v>51</v>
      </c>
      <c r="F54" s="15">
        <v>3</v>
      </c>
      <c r="G54" s="14" t="s">
        <v>592</v>
      </c>
      <c r="H54" s="25" t="s">
        <v>593</v>
      </c>
      <c r="I54" s="13" t="s">
        <v>704</v>
      </c>
      <c r="J54" s="13" t="s">
        <v>705</v>
      </c>
      <c r="K54" s="17">
        <v>46108</v>
      </c>
    </row>
    <row r="55" spans="1:11" ht="48" customHeight="1">
      <c r="A55" s="14" t="s">
        <v>671</v>
      </c>
      <c r="B55" s="14" t="s">
        <v>670</v>
      </c>
      <c r="C55" s="26">
        <v>12370</v>
      </c>
      <c r="D55" s="16">
        <v>46105</v>
      </c>
      <c r="E55" s="14" t="s">
        <v>26</v>
      </c>
      <c r="F55" s="15">
        <v>1</v>
      </c>
      <c r="G55" s="14" t="s">
        <v>592</v>
      </c>
      <c r="H55" s="25" t="s">
        <v>593</v>
      </c>
      <c r="I55" s="13" t="s">
        <v>700</v>
      </c>
      <c r="J55" s="13" t="s">
        <v>719</v>
      </c>
      <c r="K55" s="17">
        <v>46106</v>
      </c>
    </row>
    <row r="56" spans="1:11" ht="48" customHeight="1">
      <c r="A56" s="14" t="s">
        <v>671</v>
      </c>
      <c r="B56" s="14" t="s">
        <v>670</v>
      </c>
      <c r="C56" s="26">
        <v>12370</v>
      </c>
      <c r="D56" s="16">
        <v>46105</v>
      </c>
      <c r="E56" s="14" t="s">
        <v>26</v>
      </c>
      <c r="F56" s="15">
        <v>2</v>
      </c>
      <c r="G56" s="14" t="s">
        <v>601</v>
      </c>
      <c r="H56" s="25" t="s">
        <v>602</v>
      </c>
      <c r="I56" s="13" t="s">
        <v>720</v>
      </c>
      <c r="J56" s="13" t="s">
        <v>721</v>
      </c>
      <c r="K56" s="17"/>
    </row>
    <row r="57" spans="1:11" ht="48" customHeight="1">
      <c r="A57" s="14" t="s">
        <v>671</v>
      </c>
      <c r="B57" s="14" t="s">
        <v>670</v>
      </c>
      <c r="C57" s="26">
        <v>12370</v>
      </c>
      <c r="D57" s="16">
        <v>46105</v>
      </c>
      <c r="E57" s="14" t="s">
        <v>26</v>
      </c>
      <c r="F57" s="15">
        <v>3</v>
      </c>
      <c r="G57" s="14" t="s">
        <v>601</v>
      </c>
      <c r="H57" s="25" t="s">
        <v>602</v>
      </c>
      <c r="I57" s="13" t="s">
        <v>722</v>
      </c>
      <c r="J57" s="13" t="s">
        <v>723</v>
      </c>
      <c r="K57" s="17"/>
    </row>
    <row r="58" spans="1:11" ht="48" customHeight="1">
      <c r="A58" s="14" t="s">
        <v>672</v>
      </c>
      <c r="B58" s="14" t="s">
        <v>674</v>
      </c>
      <c r="C58" s="26">
        <v>12542</v>
      </c>
      <c r="D58" s="16">
        <v>46106</v>
      </c>
      <c r="E58" s="14" t="s">
        <v>33</v>
      </c>
      <c r="F58" s="15">
        <v>1</v>
      </c>
      <c r="G58" s="14" t="s">
        <v>592</v>
      </c>
      <c r="H58" s="25" t="s">
        <v>593</v>
      </c>
      <c r="I58" s="13" t="s">
        <v>724</v>
      </c>
      <c r="J58" s="13" t="s">
        <v>725</v>
      </c>
      <c r="K58" s="17">
        <v>45741</v>
      </c>
    </row>
    <row r="59" spans="1:11" ht="48" customHeight="1">
      <c r="A59" s="14" t="s">
        <v>672</v>
      </c>
      <c r="B59" s="14" t="s">
        <v>674</v>
      </c>
      <c r="C59" s="26">
        <v>12543</v>
      </c>
      <c r="D59" s="16">
        <v>46107</v>
      </c>
      <c r="E59" s="14" t="s">
        <v>33</v>
      </c>
      <c r="F59" s="15">
        <v>2</v>
      </c>
      <c r="G59" s="14" t="s">
        <v>182</v>
      </c>
      <c r="H59" s="25" t="s">
        <v>593</v>
      </c>
      <c r="I59" s="13" t="s">
        <v>726</v>
      </c>
      <c r="J59" s="13" t="s">
        <v>727</v>
      </c>
      <c r="K59" s="17">
        <v>45741</v>
      </c>
    </row>
    <row r="60" spans="1:11" ht="48" customHeight="1">
      <c r="A60" s="14" t="s">
        <v>672</v>
      </c>
      <c r="B60" s="14" t="s">
        <v>674</v>
      </c>
      <c r="C60" s="26">
        <v>12544</v>
      </c>
      <c r="D60" s="16">
        <v>46108</v>
      </c>
      <c r="E60" s="14" t="s">
        <v>33</v>
      </c>
      <c r="F60" s="15">
        <v>3</v>
      </c>
      <c r="G60" s="14" t="s">
        <v>182</v>
      </c>
      <c r="H60" s="25" t="s">
        <v>593</v>
      </c>
      <c r="I60" s="13" t="s">
        <v>728</v>
      </c>
      <c r="J60" s="13" t="s">
        <v>729</v>
      </c>
      <c r="K60" s="17">
        <v>45743</v>
      </c>
    </row>
    <row r="61" spans="1:11" ht="48" customHeight="1">
      <c r="A61" s="14" t="s">
        <v>672</v>
      </c>
      <c r="B61" s="14" t="s">
        <v>674</v>
      </c>
      <c r="C61" s="26">
        <v>12545</v>
      </c>
      <c r="D61" s="16">
        <v>46109</v>
      </c>
      <c r="E61" s="14" t="s">
        <v>33</v>
      </c>
      <c r="F61" s="15">
        <v>4</v>
      </c>
      <c r="G61" s="14" t="s">
        <v>182</v>
      </c>
      <c r="H61" s="25" t="s">
        <v>593</v>
      </c>
      <c r="I61" s="13" t="s">
        <v>730</v>
      </c>
      <c r="J61" s="13" t="s">
        <v>727</v>
      </c>
      <c r="K61" s="17">
        <v>45743</v>
      </c>
    </row>
    <row r="62" spans="1:11" ht="48" customHeight="1">
      <c r="A62" s="14" t="s">
        <v>672</v>
      </c>
      <c r="B62" s="14" t="s">
        <v>674</v>
      </c>
      <c r="C62" s="26">
        <v>12546</v>
      </c>
      <c r="D62" s="16">
        <v>46110</v>
      </c>
      <c r="E62" s="14" t="s">
        <v>33</v>
      </c>
      <c r="F62" s="15">
        <v>5</v>
      </c>
      <c r="G62" s="14" t="s">
        <v>592</v>
      </c>
      <c r="H62" s="25" t="s">
        <v>593</v>
      </c>
      <c r="I62" s="13" t="s">
        <v>731</v>
      </c>
      <c r="J62" s="13" t="s">
        <v>732</v>
      </c>
      <c r="K62" s="17">
        <v>45743</v>
      </c>
    </row>
    <row r="63" spans="1:11" ht="48" customHeight="1">
      <c r="A63" s="14" t="s">
        <v>678</v>
      </c>
      <c r="B63" s="14" t="s">
        <v>763</v>
      </c>
      <c r="C63" s="26">
        <v>12552</v>
      </c>
      <c r="D63" s="16">
        <v>46125</v>
      </c>
      <c r="E63" s="14" t="s">
        <v>733</v>
      </c>
      <c r="F63" s="15">
        <v>1</v>
      </c>
      <c r="G63" s="14" t="s">
        <v>592</v>
      </c>
      <c r="H63" s="25" t="s">
        <v>593</v>
      </c>
      <c r="I63" s="13" t="s">
        <v>700</v>
      </c>
      <c r="J63" s="13" t="s">
        <v>736</v>
      </c>
      <c r="K63" s="17">
        <v>46128</v>
      </c>
    </row>
    <row r="64" spans="1:11" ht="48" customHeight="1">
      <c r="A64" s="14" t="s">
        <v>678</v>
      </c>
      <c r="B64" s="14" t="s">
        <v>763</v>
      </c>
      <c r="C64" s="26">
        <v>12552</v>
      </c>
      <c r="D64" s="16">
        <v>46125</v>
      </c>
      <c r="E64" s="14" t="s">
        <v>733</v>
      </c>
      <c r="F64" s="15">
        <v>2</v>
      </c>
      <c r="G64" s="14" t="s">
        <v>601</v>
      </c>
      <c r="H64" s="25" t="s">
        <v>602</v>
      </c>
      <c r="I64" s="13" t="s">
        <v>737</v>
      </c>
      <c r="J64" s="13" t="s">
        <v>738</v>
      </c>
      <c r="K64" s="17"/>
    </row>
    <row r="65" spans="1:11" ht="48" customHeight="1">
      <c r="A65" s="14" t="s">
        <v>678</v>
      </c>
      <c r="B65" s="14" t="s">
        <v>763</v>
      </c>
      <c r="C65" s="26">
        <v>12552</v>
      </c>
      <c r="D65" s="16">
        <v>46125</v>
      </c>
      <c r="E65" s="14" t="s">
        <v>733</v>
      </c>
      <c r="F65" s="15">
        <v>3</v>
      </c>
      <c r="G65" s="14" t="s">
        <v>592</v>
      </c>
      <c r="H65" s="25" t="s">
        <v>602</v>
      </c>
      <c r="I65" s="13" t="s">
        <v>739</v>
      </c>
      <c r="J65" s="13" t="s">
        <v>740</v>
      </c>
      <c r="K65" s="17"/>
    </row>
    <row r="66" spans="1:11" ht="48" customHeight="1">
      <c r="A66" s="14" t="s">
        <v>95</v>
      </c>
      <c r="B66" s="14" t="s">
        <v>676</v>
      </c>
      <c r="C66" s="26">
        <v>12502</v>
      </c>
      <c r="D66" s="16">
        <v>46125</v>
      </c>
      <c r="E66" s="14" t="s">
        <v>26</v>
      </c>
      <c r="F66" s="15">
        <v>1</v>
      </c>
      <c r="G66" s="14" t="s">
        <v>592</v>
      </c>
      <c r="H66" s="25" t="s">
        <v>593</v>
      </c>
      <c r="I66" s="13" t="s">
        <v>610</v>
      </c>
      <c r="J66" s="13" t="s">
        <v>627</v>
      </c>
      <c r="K66" s="17">
        <v>46127</v>
      </c>
    </row>
    <row r="67" spans="1:11" ht="48" customHeight="1">
      <c r="A67" s="14" t="s">
        <v>95</v>
      </c>
      <c r="B67" s="14" t="s">
        <v>676</v>
      </c>
      <c r="C67" s="26">
        <v>12502</v>
      </c>
      <c r="D67" s="16">
        <v>46125</v>
      </c>
      <c r="E67" s="14" t="s">
        <v>26</v>
      </c>
      <c r="F67" s="15">
        <v>2</v>
      </c>
      <c r="G67" s="14" t="s">
        <v>592</v>
      </c>
      <c r="H67" s="25" t="s">
        <v>593</v>
      </c>
      <c r="I67" s="13" t="s">
        <v>741</v>
      </c>
      <c r="J67" s="13" t="s">
        <v>742</v>
      </c>
      <c r="K67" s="17">
        <v>46150</v>
      </c>
    </row>
    <row r="68" spans="1:11" ht="48" customHeight="1">
      <c r="A68" s="14" t="s">
        <v>201</v>
      </c>
      <c r="B68" s="14" t="s">
        <v>677</v>
      </c>
      <c r="C68" s="26">
        <v>12674</v>
      </c>
      <c r="D68" s="16">
        <v>46125</v>
      </c>
      <c r="E68" s="14" t="s">
        <v>735</v>
      </c>
      <c r="F68" s="27">
        <v>1</v>
      </c>
      <c r="G68" s="14" t="s">
        <v>592</v>
      </c>
      <c r="H68" s="25" t="s">
        <v>593</v>
      </c>
      <c r="I68" s="13" t="s">
        <v>610</v>
      </c>
      <c r="J68" s="13" t="s">
        <v>743</v>
      </c>
      <c r="K68" s="17">
        <v>46128</v>
      </c>
    </row>
    <row r="69" spans="1:11" ht="48" customHeight="1">
      <c r="A69" s="14" t="s">
        <v>201</v>
      </c>
      <c r="B69" s="14" t="s">
        <v>677</v>
      </c>
      <c r="C69" s="26">
        <v>12674</v>
      </c>
      <c r="D69" s="16">
        <v>46125</v>
      </c>
      <c r="E69" s="14" t="s">
        <v>735</v>
      </c>
      <c r="F69" s="27">
        <v>2</v>
      </c>
      <c r="G69" s="14" t="s">
        <v>601</v>
      </c>
      <c r="H69" s="25" t="s">
        <v>593</v>
      </c>
      <c r="I69" s="13" t="s">
        <v>744</v>
      </c>
      <c r="J69" s="13" t="s">
        <v>745</v>
      </c>
      <c r="K69" s="17">
        <v>46128</v>
      </c>
    </row>
    <row r="70" spans="1:11" ht="48" customHeight="1">
      <c r="A70" s="14" t="s">
        <v>201</v>
      </c>
      <c r="B70" s="14" t="s">
        <v>677</v>
      </c>
      <c r="C70" s="26">
        <v>12674</v>
      </c>
      <c r="D70" s="16">
        <v>46125</v>
      </c>
      <c r="E70" s="14" t="s">
        <v>735</v>
      </c>
      <c r="F70" s="27">
        <v>3</v>
      </c>
      <c r="G70" s="14" t="s">
        <v>592</v>
      </c>
      <c r="H70" s="25" t="s">
        <v>602</v>
      </c>
      <c r="I70" s="13" t="s">
        <v>746</v>
      </c>
      <c r="J70" s="13" t="s">
        <v>747</v>
      </c>
      <c r="K70" s="17"/>
    </row>
    <row r="71" spans="1:11" ht="48" customHeight="1">
      <c r="A71" s="14" t="s">
        <v>301</v>
      </c>
      <c r="B71" s="14" t="s">
        <v>748</v>
      </c>
      <c r="C71" s="26">
        <v>10734</v>
      </c>
      <c r="D71" s="16">
        <v>46127</v>
      </c>
      <c r="E71" s="14" t="s">
        <v>26</v>
      </c>
      <c r="F71" s="15">
        <v>1</v>
      </c>
      <c r="G71" s="14" t="s">
        <v>592</v>
      </c>
      <c r="H71" s="25" t="s">
        <v>593</v>
      </c>
      <c r="I71" s="13" t="s">
        <v>700</v>
      </c>
      <c r="J71" s="13" t="s">
        <v>749</v>
      </c>
      <c r="K71" s="17">
        <v>46132</v>
      </c>
    </row>
    <row r="72" spans="1:11" ht="48" customHeight="1">
      <c r="A72" s="14" t="s">
        <v>301</v>
      </c>
      <c r="B72" s="14" t="s">
        <v>748</v>
      </c>
      <c r="C72" s="26">
        <v>10734</v>
      </c>
      <c r="D72" s="16">
        <v>46127</v>
      </c>
      <c r="E72" s="14" t="s">
        <v>26</v>
      </c>
      <c r="F72" s="15">
        <v>2</v>
      </c>
      <c r="G72" s="14" t="s">
        <v>592</v>
      </c>
      <c r="H72" s="25" t="s">
        <v>593</v>
      </c>
      <c r="I72" s="13" t="s">
        <v>746</v>
      </c>
      <c r="J72" s="13" t="s">
        <v>750</v>
      </c>
      <c r="K72" s="17">
        <v>46153</v>
      </c>
    </row>
    <row r="73" spans="1:11" ht="48" customHeight="1">
      <c r="A73" s="14" t="s">
        <v>301</v>
      </c>
      <c r="B73" s="14" t="s">
        <v>748</v>
      </c>
      <c r="C73" s="26">
        <v>10734</v>
      </c>
      <c r="D73" s="16">
        <v>46127</v>
      </c>
      <c r="E73" s="14" t="s">
        <v>26</v>
      </c>
      <c r="F73" s="15">
        <v>3</v>
      </c>
      <c r="G73" s="13" t="s">
        <v>620</v>
      </c>
      <c r="H73" s="25" t="s">
        <v>602</v>
      </c>
      <c r="I73" s="13" t="s">
        <v>751</v>
      </c>
      <c r="J73" s="13" t="s">
        <v>752</v>
      </c>
      <c r="K73" s="17">
        <v>46171</v>
      </c>
    </row>
    <row r="74" spans="1:11" ht="48" customHeight="1">
      <c r="A74" s="14" t="s">
        <v>404</v>
      </c>
      <c r="B74" s="14" t="s">
        <v>99</v>
      </c>
      <c r="C74" s="26">
        <v>9528</v>
      </c>
      <c r="D74" s="16">
        <v>46127</v>
      </c>
      <c r="E74" s="14" t="s">
        <v>26</v>
      </c>
      <c r="F74" s="15">
        <v>1</v>
      </c>
      <c r="G74" s="14" t="s">
        <v>592</v>
      </c>
      <c r="H74" s="25" t="s">
        <v>593</v>
      </c>
      <c r="I74" s="13" t="s">
        <v>700</v>
      </c>
      <c r="J74" s="13" t="s">
        <v>753</v>
      </c>
      <c r="K74" s="17">
        <v>46132</v>
      </c>
    </row>
    <row r="75" spans="1:11" ht="48" customHeight="1">
      <c r="A75" s="14" t="s">
        <v>404</v>
      </c>
      <c r="B75" s="14" t="s">
        <v>99</v>
      </c>
      <c r="C75" s="26">
        <v>9528</v>
      </c>
      <c r="D75" s="16">
        <v>46127</v>
      </c>
      <c r="E75" s="14" t="s">
        <v>26</v>
      </c>
      <c r="F75" s="15">
        <v>2</v>
      </c>
      <c r="G75" s="14" t="s">
        <v>592</v>
      </c>
      <c r="H75" s="25" t="s">
        <v>593</v>
      </c>
      <c r="I75" s="13" t="s">
        <v>746</v>
      </c>
      <c r="J75" s="13" t="s">
        <v>754</v>
      </c>
      <c r="K75" s="17">
        <v>46132</v>
      </c>
    </row>
    <row r="76" spans="1:11" ht="48" customHeight="1">
      <c r="A76" s="14" t="s">
        <v>404</v>
      </c>
      <c r="B76" s="14" t="s">
        <v>99</v>
      </c>
      <c r="C76" s="26">
        <v>9528</v>
      </c>
      <c r="D76" s="16">
        <v>46127</v>
      </c>
      <c r="E76" s="14" t="s">
        <v>26</v>
      </c>
      <c r="F76" s="15">
        <v>3</v>
      </c>
      <c r="G76" s="14" t="s">
        <v>601</v>
      </c>
      <c r="H76" s="25" t="s">
        <v>602</v>
      </c>
      <c r="I76" s="13" t="s">
        <v>755</v>
      </c>
      <c r="J76" s="13" t="s">
        <v>756</v>
      </c>
      <c r="K76" s="17"/>
    </row>
    <row r="77" spans="1:11" ht="48" customHeight="1">
      <c r="A77" s="14" t="s">
        <v>512</v>
      </c>
      <c r="B77" s="14" t="s">
        <v>687</v>
      </c>
      <c r="C77" s="26">
        <v>8240</v>
      </c>
      <c r="D77" s="16">
        <v>46140</v>
      </c>
      <c r="E77" s="14" t="s">
        <v>26</v>
      </c>
      <c r="F77" s="15">
        <v>1</v>
      </c>
      <c r="G77" s="14" t="s">
        <v>592</v>
      </c>
      <c r="H77" s="25" t="s">
        <v>593</v>
      </c>
      <c r="I77" s="13" t="s">
        <v>700</v>
      </c>
      <c r="J77" s="13" t="s">
        <v>757</v>
      </c>
      <c r="K77" s="17">
        <v>46141</v>
      </c>
    </row>
    <row r="78" spans="1:11" ht="48" customHeight="1">
      <c r="A78" s="14" t="s">
        <v>512</v>
      </c>
      <c r="B78" s="14" t="s">
        <v>687</v>
      </c>
      <c r="C78" s="26">
        <v>8240</v>
      </c>
      <c r="D78" s="16">
        <v>46140</v>
      </c>
      <c r="E78" s="14" t="s">
        <v>26</v>
      </c>
      <c r="F78" s="15">
        <v>2</v>
      </c>
      <c r="G78" s="14" t="s">
        <v>592</v>
      </c>
      <c r="H78" s="25" t="s">
        <v>602</v>
      </c>
      <c r="I78" s="13" t="s">
        <v>746</v>
      </c>
      <c r="J78" s="13" t="s">
        <v>758</v>
      </c>
      <c r="K78" s="17">
        <v>46154</v>
      </c>
    </row>
    <row r="79" spans="1:11" ht="48" customHeight="1">
      <c r="A79" s="14" t="s">
        <v>689</v>
      </c>
      <c r="B79" s="14" t="s">
        <v>690</v>
      </c>
      <c r="C79" s="26">
        <v>15562</v>
      </c>
      <c r="D79" s="16">
        <v>46146</v>
      </c>
      <c r="E79" s="14" t="s">
        <v>733</v>
      </c>
      <c r="F79" s="15">
        <v>1</v>
      </c>
      <c r="G79" s="14" t="s">
        <v>592</v>
      </c>
      <c r="H79" s="25" t="s">
        <v>593</v>
      </c>
      <c r="I79" s="13" t="s">
        <v>610</v>
      </c>
      <c r="J79" s="13" t="s">
        <v>760</v>
      </c>
      <c r="K79" s="17">
        <v>46161</v>
      </c>
    </row>
    <row r="80" spans="1:11" ht="48" customHeight="1">
      <c r="A80" s="14" t="s">
        <v>689</v>
      </c>
      <c r="B80" s="14" t="s">
        <v>690</v>
      </c>
      <c r="C80" s="26">
        <v>15562</v>
      </c>
      <c r="D80" s="16">
        <v>46146</v>
      </c>
      <c r="E80" s="14" t="s">
        <v>733</v>
      </c>
      <c r="F80" s="15">
        <v>2</v>
      </c>
      <c r="G80" s="14" t="s">
        <v>592</v>
      </c>
      <c r="H80" s="25" t="s">
        <v>593</v>
      </c>
      <c r="I80" s="13" t="s">
        <v>761</v>
      </c>
      <c r="J80" s="13" t="s">
        <v>762</v>
      </c>
      <c r="K80" s="17">
        <v>46161</v>
      </c>
    </row>
    <row r="81" spans="1:12" ht="48" customHeight="1">
      <c r="A81" s="14" t="s">
        <v>689</v>
      </c>
      <c r="B81" s="14" t="s">
        <v>690</v>
      </c>
      <c r="C81" s="26">
        <v>15562</v>
      </c>
      <c r="D81" s="16">
        <v>46146</v>
      </c>
      <c r="E81" s="14" t="s">
        <v>733</v>
      </c>
      <c r="F81" s="15">
        <v>3</v>
      </c>
      <c r="G81" s="14" t="s">
        <v>592</v>
      </c>
      <c r="H81" s="25" t="s">
        <v>602</v>
      </c>
      <c r="I81" s="13" t="s">
        <v>761</v>
      </c>
      <c r="J81" s="13" t="s">
        <v>762</v>
      </c>
      <c r="K81" s="17">
        <v>46161</v>
      </c>
      <c r="L81" s="16"/>
    </row>
  </sheetData>
  <phoneticPr fontId="1" type="noConversion"/>
  <conditionalFormatting sqref="H2:H81">
    <cfRule type="cellIs" dxfId="3" priority="1" operator="equal">
      <formula>"CONCLUÍDO"</formula>
    </cfRule>
    <cfRule type="cellIs" dxfId="2" priority="2" operator="equal">
      <formula>"PENDENTE"</formula>
    </cfRule>
  </conditionalFormatting>
  <pageMargins left="0.51181102362204722" right="0.51181102362204722" top="0.78740157480314965" bottom="0.78740157480314965" header="0.31496062992125984" footer="0.31496062992125984"/>
  <pageSetup paperSize="9" scale="63" orientation="landscape" horizontalDpi="120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BC64-9C76-4408-BF17-FF849D0BB184}">
  <dimension ref="A1:K75"/>
  <sheetViews>
    <sheetView showGridLines="0" topLeftCell="A58" zoomScale="85" zoomScaleNormal="85" workbookViewId="0">
      <selection activeCell="B67" sqref="B67"/>
    </sheetView>
  </sheetViews>
  <sheetFormatPr baseColWidth="10" defaultColWidth="31.33203125" defaultRowHeight="16"/>
  <cols>
    <col min="1" max="1" width="10.33203125" style="14" bestFit="1" customWidth="1"/>
    <col min="2" max="2" width="31.1640625" style="14" bestFit="1" customWidth="1"/>
    <col min="3" max="3" width="10.6640625" style="14" bestFit="1" customWidth="1"/>
    <col min="4" max="4" width="9.5" style="14" bestFit="1" customWidth="1"/>
    <col min="5" max="5" width="10.6640625" style="14" bestFit="1" customWidth="1"/>
    <col min="6" max="6" width="11.1640625" style="14" bestFit="1" customWidth="1"/>
    <col min="7" max="7" width="13.83203125" style="14" bestFit="1" customWidth="1"/>
    <col min="8" max="8" width="12.1640625" style="14" bestFit="1" customWidth="1"/>
    <col min="9" max="9" width="12.5" style="14" bestFit="1" customWidth="1"/>
    <col min="10" max="10" width="11.6640625" style="14" bestFit="1" customWidth="1"/>
    <col min="11" max="11" width="12.6640625" style="14" bestFit="1" customWidth="1"/>
    <col min="12" max="16384" width="31.33203125" style="14"/>
  </cols>
  <sheetData>
    <row r="1" spans="1:11">
      <c r="A1" s="14" t="s">
        <v>3</v>
      </c>
      <c r="B1" s="14" t="s">
        <v>765</v>
      </c>
      <c r="C1" s="14" t="s">
        <v>766</v>
      </c>
      <c r="D1" s="14" t="s">
        <v>767</v>
      </c>
      <c r="E1" s="14" t="s">
        <v>768</v>
      </c>
      <c r="F1" s="14" t="s">
        <v>789</v>
      </c>
      <c r="G1" s="14" t="s">
        <v>790</v>
      </c>
      <c r="H1" s="14" t="s">
        <v>791</v>
      </c>
      <c r="I1" s="14" t="s">
        <v>793</v>
      </c>
      <c r="J1" s="14" t="s">
        <v>792</v>
      </c>
      <c r="K1" s="14" t="s">
        <v>794</v>
      </c>
    </row>
    <row r="2" spans="1:11">
      <c r="A2" s="16">
        <v>46023</v>
      </c>
      <c r="B2" s="14" t="s">
        <v>769</v>
      </c>
      <c r="C2" s="29">
        <v>3292</v>
      </c>
      <c r="D2" s="29">
        <v>53.06666666666667</v>
      </c>
      <c r="E2" s="29">
        <v>3238.9333333333334</v>
      </c>
      <c r="F2" s="23"/>
      <c r="G2" s="23"/>
      <c r="H2" s="31">
        <f>IF(Tabela3[[#This Row],[HH]]&gt;0, (Tabela3[[#This Row],[Acidentes]]*1000000)/Tabela3[[#This Row],[HH]], 0)</f>
        <v>0</v>
      </c>
      <c r="I2" s="32" t="str">
        <f t="shared" ref="I2:I33" si="0">IF(H2&lt;=20, "MUITO BOA", IF(H2&lt;=40, "BOA", IF(H2&lt;=60, "RUIM", "PÉSSIMA")))</f>
        <v>MUITO BOA</v>
      </c>
      <c r="J2" s="31">
        <f>IF(Tabela3[[#This Row],[HH]]&gt;0, (Tabela3[[#This Row],[Afastamento]]*1000000)/Tabela3[[#This Row],[HH]], 0)</f>
        <v>0</v>
      </c>
      <c r="K2" s="28" t="str">
        <f t="shared" ref="K2:K33" si="1">IF(J2&lt;=500, "MUITO BOA", IF(J2&lt;=1000, "BOA", IF(J2&lt;=2000, "RUIM", "PÉSSIMA")))</f>
        <v>MUITO BOA</v>
      </c>
    </row>
    <row r="3" spans="1:11">
      <c r="A3" s="16">
        <v>46023</v>
      </c>
      <c r="B3" s="14" t="s">
        <v>770</v>
      </c>
      <c r="C3" s="29">
        <v>7194.6965277777772</v>
      </c>
      <c r="D3" s="29">
        <v>138.19999999999999</v>
      </c>
      <c r="E3" s="29">
        <v>7056.4965277777774</v>
      </c>
      <c r="F3" s="23"/>
      <c r="G3" s="23"/>
      <c r="H3" s="31">
        <f>IF(Tabela3[[#This Row],[HH]]&gt;0, (Tabela3[[#This Row],[Acidentes]]*1000000)/Tabela3[[#This Row],[HH]], 0)</f>
        <v>0</v>
      </c>
      <c r="I3" s="32" t="str">
        <f t="shared" si="0"/>
        <v>MUITO BOA</v>
      </c>
      <c r="J3" s="31">
        <f>IF(Tabela3[[#This Row],[HH]]&gt;0, (Tabela3[[#This Row],[Afastamento]]*1000000)/Tabela3[[#This Row],[HH]], 0)</f>
        <v>0</v>
      </c>
      <c r="K3" s="28" t="str">
        <f t="shared" si="1"/>
        <v>MUITO BOA</v>
      </c>
    </row>
    <row r="4" spans="1:11">
      <c r="A4" s="16">
        <v>46023</v>
      </c>
      <c r="B4" s="14" t="s">
        <v>771</v>
      </c>
      <c r="C4" s="29">
        <v>84414.502777777743</v>
      </c>
      <c r="D4" s="29">
        <v>3135.9930555555547</v>
      </c>
      <c r="E4" s="29">
        <v>81278.509722222196</v>
      </c>
      <c r="F4" s="23"/>
      <c r="G4" s="23"/>
      <c r="H4" s="31">
        <f>IF(Tabela3[[#This Row],[HH]]&gt;0, (Tabela3[[#This Row],[Acidentes]]*1000000)/Tabela3[[#This Row],[HH]], 0)</f>
        <v>0</v>
      </c>
      <c r="I4" s="32" t="str">
        <f t="shared" si="0"/>
        <v>MUITO BOA</v>
      </c>
      <c r="J4" s="31">
        <f>IF(Tabela3[[#This Row],[HH]]&gt;0, (Tabela3[[#This Row],[Afastamento]]*1000000)/Tabela3[[#This Row],[HH]], 0)</f>
        <v>0</v>
      </c>
      <c r="K4" s="28" t="str">
        <f t="shared" si="1"/>
        <v>MUITO BOA</v>
      </c>
    </row>
    <row r="5" spans="1:11">
      <c r="A5" s="16">
        <v>46023</v>
      </c>
      <c r="B5" s="14" t="s">
        <v>772</v>
      </c>
      <c r="C5" s="29">
        <v>237.81805555555559</v>
      </c>
      <c r="D5" s="29">
        <v>0</v>
      </c>
      <c r="E5" s="29">
        <v>237.81805555555559</v>
      </c>
      <c r="F5" s="23"/>
      <c r="G5" s="23"/>
      <c r="H5" s="31">
        <f>IF(Tabela3[[#This Row],[HH]]&gt;0, (Tabela3[[#This Row],[Acidentes]]*1000000)/Tabela3[[#This Row],[HH]], 0)</f>
        <v>0</v>
      </c>
      <c r="I5" s="32" t="str">
        <f t="shared" si="0"/>
        <v>MUITO BOA</v>
      </c>
      <c r="J5" s="31">
        <f>IF(Tabela3[[#This Row],[HH]]&gt;0, (Tabela3[[#This Row],[Afastamento]]*1000000)/Tabela3[[#This Row],[HH]], 0)</f>
        <v>0</v>
      </c>
      <c r="K5" s="28" t="str">
        <f t="shared" si="1"/>
        <v>MUITO BOA</v>
      </c>
    </row>
    <row r="6" spans="1:11">
      <c r="A6" s="16">
        <v>46023</v>
      </c>
      <c r="B6" s="14" t="s">
        <v>773</v>
      </c>
      <c r="C6" s="29">
        <v>2196.6187499999996</v>
      </c>
      <c r="D6" s="29">
        <v>82.73333333333332</v>
      </c>
      <c r="E6" s="29">
        <v>2113.8854166666665</v>
      </c>
      <c r="F6" s="23"/>
      <c r="G6" s="23"/>
      <c r="H6" s="31">
        <f>IF(Tabela3[[#This Row],[HH]]&gt;0, (Tabela3[[#This Row],[Acidentes]]*1000000)/Tabela3[[#This Row],[HH]], 0)</f>
        <v>0</v>
      </c>
      <c r="I6" s="32" t="str">
        <f t="shared" si="0"/>
        <v>MUITO BOA</v>
      </c>
      <c r="J6" s="31">
        <f>IF(Tabela3[[#This Row],[HH]]&gt;0, (Tabela3[[#This Row],[Afastamento]]*1000000)/Tabela3[[#This Row],[HH]], 0)</f>
        <v>0</v>
      </c>
      <c r="K6" s="28" t="str">
        <f t="shared" si="1"/>
        <v>MUITO BOA</v>
      </c>
    </row>
    <row r="7" spans="1:11">
      <c r="A7" s="16">
        <v>46023</v>
      </c>
      <c r="B7" s="14" t="s">
        <v>774</v>
      </c>
      <c r="C7" s="29">
        <v>2662.932638888889</v>
      </c>
      <c r="D7" s="29">
        <v>78.849999999999994</v>
      </c>
      <c r="E7" s="29">
        <v>2584.0826388888891</v>
      </c>
      <c r="F7" s="23"/>
      <c r="G7" s="23"/>
      <c r="H7" s="31">
        <f>IF(Tabela3[[#This Row],[HH]]&gt;0, (Tabela3[[#This Row],[Acidentes]]*1000000)/Tabela3[[#This Row],[HH]], 0)</f>
        <v>0</v>
      </c>
      <c r="I7" s="32" t="str">
        <f t="shared" si="0"/>
        <v>MUITO BOA</v>
      </c>
      <c r="J7" s="31">
        <f>IF(Tabela3[[#This Row],[HH]]&gt;0, (Tabela3[[#This Row],[Afastamento]]*1000000)/Tabela3[[#This Row],[HH]], 0)</f>
        <v>0</v>
      </c>
      <c r="K7" s="28" t="str">
        <f t="shared" si="1"/>
        <v>MUITO BOA</v>
      </c>
    </row>
    <row r="8" spans="1:11">
      <c r="A8" s="16">
        <v>46023</v>
      </c>
      <c r="B8" s="14" t="s">
        <v>775</v>
      </c>
      <c r="C8" s="29">
        <v>5661.541666666667</v>
      </c>
      <c r="D8" s="29">
        <v>117.29930555555558</v>
      </c>
      <c r="E8" s="29">
        <v>5544.2423611111117</v>
      </c>
      <c r="F8" s="23"/>
      <c r="G8" s="23"/>
      <c r="H8" s="31">
        <f>IF(Tabela3[[#This Row],[HH]]&gt;0, (Tabela3[[#This Row],[Acidentes]]*1000000)/Tabela3[[#This Row],[HH]], 0)</f>
        <v>0</v>
      </c>
      <c r="I8" s="32" t="str">
        <f t="shared" si="0"/>
        <v>MUITO BOA</v>
      </c>
      <c r="J8" s="31">
        <f>IF(Tabela3[[#This Row],[HH]]&gt;0, (Tabela3[[#This Row],[Afastamento]]*1000000)/Tabela3[[#This Row],[HH]], 0)</f>
        <v>0</v>
      </c>
      <c r="K8" s="28" t="str">
        <f t="shared" si="1"/>
        <v>MUITO BOA</v>
      </c>
    </row>
    <row r="9" spans="1:11">
      <c r="A9" s="16">
        <v>46023</v>
      </c>
      <c r="B9" s="14" t="s">
        <v>776</v>
      </c>
      <c r="C9" s="29">
        <v>37347.949999999983</v>
      </c>
      <c r="D9" s="29">
        <v>1027.5486111111113</v>
      </c>
      <c r="E9" s="29">
        <v>36320.401388888873</v>
      </c>
      <c r="F9" s="23"/>
      <c r="G9" s="23"/>
      <c r="H9" s="31">
        <f>IF(Tabela3[[#This Row],[HH]]&gt;0, (Tabela3[[#This Row],[Acidentes]]*1000000)/Tabela3[[#This Row],[HH]], 0)</f>
        <v>0</v>
      </c>
      <c r="I9" s="32" t="str">
        <f t="shared" si="0"/>
        <v>MUITO BOA</v>
      </c>
      <c r="J9" s="31">
        <f>IF(Tabela3[[#This Row],[HH]]&gt;0, (Tabela3[[#This Row],[Afastamento]]*1000000)/Tabela3[[#This Row],[HH]], 0)</f>
        <v>0</v>
      </c>
      <c r="K9" s="28" t="str">
        <f t="shared" si="1"/>
        <v>MUITO BOA</v>
      </c>
    </row>
    <row r="10" spans="1:11">
      <c r="A10" s="16">
        <v>46023</v>
      </c>
      <c r="B10" s="14" t="s">
        <v>777</v>
      </c>
      <c r="C10" s="29">
        <v>3725.6013888888883</v>
      </c>
      <c r="D10" s="29">
        <v>61.833333333333321</v>
      </c>
      <c r="E10" s="29">
        <v>3663.7680555555548</v>
      </c>
      <c r="F10" s="23"/>
      <c r="G10" s="23"/>
      <c r="H10" s="31">
        <f>IF(Tabela3[[#This Row],[HH]]&gt;0, (Tabela3[[#This Row],[Acidentes]]*1000000)/Tabela3[[#This Row],[HH]], 0)</f>
        <v>0</v>
      </c>
      <c r="I10" s="32" t="str">
        <f t="shared" si="0"/>
        <v>MUITO BOA</v>
      </c>
      <c r="J10" s="31">
        <f>IF(Tabela3[[#This Row],[HH]]&gt;0, (Tabela3[[#This Row],[Afastamento]]*1000000)/Tabela3[[#This Row],[HH]], 0)</f>
        <v>0</v>
      </c>
      <c r="K10" s="28" t="str">
        <f t="shared" si="1"/>
        <v>MUITO BOA</v>
      </c>
    </row>
    <row r="11" spans="1:11">
      <c r="A11" s="16">
        <v>46023</v>
      </c>
      <c r="B11" s="14" t="s">
        <v>778</v>
      </c>
      <c r="C11" s="29">
        <v>387.64166666666671</v>
      </c>
      <c r="D11" s="29">
        <v>0</v>
      </c>
      <c r="E11" s="29">
        <v>387.64166666666671</v>
      </c>
      <c r="F11" s="23"/>
      <c r="G11" s="23"/>
      <c r="H11" s="31">
        <f>IF(Tabela3[[#This Row],[HH]]&gt;0, (Tabela3[[#This Row],[Acidentes]]*1000000)/Tabela3[[#This Row],[HH]], 0)</f>
        <v>0</v>
      </c>
      <c r="I11" s="32" t="str">
        <f t="shared" si="0"/>
        <v>MUITO BOA</v>
      </c>
      <c r="J11" s="31">
        <f>IF(Tabela3[[#This Row],[HH]]&gt;0, (Tabela3[[#This Row],[Afastamento]]*1000000)/Tabela3[[#This Row],[HH]], 0)</f>
        <v>0</v>
      </c>
      <c r="K11" s="28" t="str">
        <f t="shared" si="1"/>
        <v>MUITO BOA</v>
      </c>
    </row>
    <row r="12" spans="1:11">
      <c r="A12" s="16">
        <v>46023</v>
      </c>
      <c r="B12" s="14" t="s">
        <v>779</v>
      </c>
      <c r="C12" s="29">
        <v>6283.4402777777768</v>
      </c>
      <c r="D12" s="29">
        <v>26.466666666666661</v>
      </c>
      <c r="E12" s="29">
        <v>6256.9736111111106</v>
      </c>
      <c r="F12" s="23"/>
      <c r="G12" s="23"/>
      <c r="H12" s="31">
        <f>IF(Tabela3[[#This Row],[HH]]&gt;0, (Tabela3[[#This Row],[Acidentes]]*1000000)/Tabela3[[#This Row],[HH]], 0)</f>
        <v>0</v>
      </c>
      <c r="I12" s="32" t="str">
        <f t="shared" si="0"/>
        <v>MUITO BOA</v>
      </c>
      <c r="J12" s="31">
        <f>IF(Tabela3[[#This Row],[HH]]&gt;0, (Tabela3[[#This Row],[Afastamento]]*1000000)/Tabela3[[#This Row],[HH]], 0)</f>
        <v>0</v>
      </c>
      <c r="K12" s="28" t="str">
        <f t="shared" si="1"/>
        <v>MUITO BOA</v>
      </c>
    </row>
    <row r="13" spans="1:11">
      <c r="A13" s="16">
        <v>46023</v>
      </c>
      <c r="B13" s="14" t="s">
        <v>780</v>
      </c>
      <c r="C13" s="29">
        <v>527.9666666666667</v>
      </c>
      <c r="D13" s="29">
        <v>30.2</v>
      </c>
      <c r="E13" s="29">
        <v>497.76666666666671</v>
      </c>
      <c r="F13" s="23"/>
      <c r="G13" s="23"/>
      <c r="H13" s="31">
        <f>IF(Tabela3[[#This Row],[HH]]&gt;0, (Tabela3[[#This Row],[Acidentes]]*1000000)/Tabela3[[#This Row],[HH]], 0)</f>
        <v>0</v>
      </c>
      <c r="I13" s="32" t="str">
        <f t="shared" si="0"/>
        <v>MUITO BOA</v>
      </c>
      <c r="J13" s="31">
        <f>IF(Tabela3[[#This Row],[HH]]&gt;0, (Tabela3[[#This Row],[Afastamento]]*1000000)/Tabela3[[#This Row],[HH]], 0)</f>
        <v>0</v>
      </c>
      <c r="K13" s="28" t="str">
        <f t="shared" si="1"/>
        <v>MUITO BOA</v>
      </c>
    </row>
    <row r="14" spans="1:11">
      <c r="A14" s="16">
        <v>46023</v>
      </c>
      <c r="B14" s="14" t="s">
        <v>781</v>
      </c>
      <c r="C14" s="29">
        <v>3763.2680555555548</v>
      </c>
      <c r="D14" s="29">
        <v>35.666666666666664</v>
      </c>
      <c r="E14" s="29">
        <v>3727.6013888888883</v>
      </c>
      <c r="F14" s="23"/>
      <c r="G14" s="23"/>
      <c r="H14" s="31">
        <f>IF(Tabela3[[#This Row],[HH]]&gt;0, (Tabela3[[#This Row],[Acidentes]]*1000000)/Tabela3[[#This Row],[HH]], 0)</f>
        <v>0</v>
      </c>
      <c r="I14" s="32" t="str">
        <f t="shared" si="0"/>
        <v>MUITO BOA</v>
      </c>
      <c r="J14" s="31">
        <f>IF(Tabela3[[#This Row],[HH]]&gt;0, (Tabela3[[#This Row],[Afastamento]]*1000000)/Tabela3[[#This Row],[HH]], 0)</f>
        <v>0</v>
      </c>
      <c r="K14" s="28" t="str">
        <f t="shared" si="1"/>
        <v>MUITO BOA</v>
      </c>
    </row>
    <row r="15" spans="1:11">
      <c r="A15" s="16">
        <v>46023</v>
      </c>
      <c r="B15" s="14" t="s">
        <v>782</v>
      </c>
      <c r="C15" s="29">
        <v>4754.5381944444443</v>
      </c>
      <c r="D15" s="29">
        <v>119.3</v>
      </c>
      <c r="E15" s="29">
        <v>4635.2381944444442</v>
      </c>
      <c r="F15" s="23"/>
      <c r="G15" s="23"/>
      <c r="H15" s="31">
        <f>IF(Tabela3[[#This Row],[HH]]&gt;0, (Tabela3[[#This Row],[Acidentes]]*1000000)/Tabela3[[#This Row],[HH]], 0)</f>
        <v>0</v>
      </c>
      <c r="I15" s="32" t="str">
        <f t="shared" si="0"/>
        <v>MUITO BOA</v>
      </c>
      <c r="J15" s="31">
        <f>IF(Tabela3[[#This Row],[HH]]&gt;0, (Tabela3[[#This Row],[Afastamento]]*1000000)/Tabela3[[#This Row],[HH]], 0)</f>
        <v>0</v>
      </c>
      <c r="K15" s="28" t="str">
        <f t="shared" si="1"/>
        <v>MUITO BOA</v>
      </c>
    </row>
    <row r="16" spans="1:11">
      <c r="A16" s="16">
        <v>46023</v>
      </c>
      <c r="B16" s="14" t="s">
        <v>783</v>
      </c>
      <c r="C16" s="29">
        <v>19409.774999999994</v>
      </c>
      <c r="D16" s="29">
        <v>673.49930555555557</v>
      </c>
      <c r="E16" s="29">
        <v>18736.275694444437</v>
      </c>
      <c r="F16" s="23"/>
      <c r="G16" s="23"/>
      <c r="H16" s="31">
        <f>IF(Tabela3[[#This Row],[HH]]&gt;0, (Tabela3[[#This Row],[Acidentes]]*1000000)/Tabela3[[#This Row],[HH]], 0)</f>
        <v>0</v>
      </c>
      <c r="I16" s="32" t="str">
        <f t="shared" si="0"/>
        <v>MUITO BOA</v>
      </c>
      <c r="J16" s="31">
        <f>IF(Tabela3[[#This Row],[HH]]&gt;0, (Tabela3[[#This Row],[Afastamento]]*1000000)/Tabela3[[#This Row],[HH]], 0)</f>
        <v>0</v>
      </c>
      <c r="K16" s="28" t="str">
        <f t="shared" si="1"/>
        <v>MUITO BOA</v>
      </c>
    </row>
    <row r="17" spans="1:11">
      <c r="A17" s="16">
        <v>46023</v>
      </c>
      <c r="B17" s="14" t="s">
        <v>49</v>
      </c>
      <c r="C17" s="29">
        <v>308.57152777777776</v>
      </c>
      <c r="D17" s="29">
        <v>0</v>
      </c>
      <c r="E17" s="29">
        <v>308.57152777777776</v>
      </c>
      <c r="F17" s="23">
        <v>1</v>
      </c>
      <c r="G17" s="23"/>
      <c r="H17" s="31">
        <f>IF(Tabela3[[#This Row],[HH]]&gt;0, (Tabela3[[#This Row],[Acidentes]]*1000000)/Tabela3[[#This Row],[HH]], 0)</f>
        <v>3240.7396988362598</v>
      </c>
      <c r="I17" s="32" t="str">
        <f t="shared" si="0"/>
        <v>PÉSSIMA</v>
      </c>
      <c r="J17" s="31">
        <f>IF(Tabela3[[#This Row],[HH]]&gt;0, (Tabela3[[#This Row],[Afastamento]]*1000000)/Tabela3[[#This Row],[HH]], 0)</f>
        <v>0</v>
      </c>
      <c r="K17" s="28" t="str">
        <f t="shared" si="1"/>
        <v>MUITO BOA</v>
      </c>
    </row>
    <row r="18" spans="1:11">
      <c r="A18" s="16">
        <v>46023</v>
      </c>
      <c r="B18" s="14" t="s">
        <v>180</v>
      </c>
      <c r="C18" s="29">
        <v>3240.8756944444444</v>
      </c>
      <c r="D18" s="29">
        <v>5.9166666666666661</v>
      </c>
      <c r="E18" s="29">
        <v>3234.9590277777779</v>
      </c>
      <c r="F18" s="23"/>
      <c r="G18" s="23"/>
      <c r="H18" s="31">
        <f>IF(Tabela3[[#This Row],[HH]]&gt;0, (Tabela3[[#This Row],[Acidentes]]*1000000)/Tabela3[[#This Row],[HH]], 0)</f>
        <v>0</v>
      </c>
      <c r="I18" s="32" t="str">
        <f t="shared" si="0"/>
        <v>MUITO BOA</v>
      </c>
      <c r="J18" s="31">
        <f>IF(Tabela3[[#This Row],[HH]]&gt;0, (Tabela3[[#This Row],[Afastamento]]*1000000)/Tabela3[[#This Row],[HH]], 0)</f>
        <v>0</v>
      </c>
      <c r="K18" s="28" t="str">
        <f t="shared" si="1"/>
        <v>MUITO BOA</v>
      </c>
    </row>
    <row r="19" spans="1:11">
      <c r="A19" s="16">
        <v>46023</v>
      </c>
      <c r="B19" s="14" t="s">
        <v>784</v>
      </c>
      <c r="C19" s="29">
        <v>237.81805555555559</v>
      </c>
      <c r="D19" s="29">
        <v>219.98611111111111</v>
      </c>
      <c r="E19" s="29">
        <v>17.831944444444474</v>
      </c>
      <c r="F19" s="23"/>
      <c r="G19" s="23"/>
      <c r="H19" s="31">
        <f>IF(Tabela3[[#This Row],[HH]]&gt;0, (Tabela3[[#This Row],[Acidentes]]*1000000)/Tabela3[[#This Row],[HH]], 0)</f>
        <v>0</v>
      </c>
      <c r="I19" s="32" t="str">
        <f t="shared" si="0"/>
        <v>MUITO BOA</v>
      </c>
      <c r="J19" s="31">
        <f>IF(Tabela3[[#This Row],[HH]]&gt;0, (Tabela3[[#This Row],[Afastamento]]*1000000)/Tabela3[[#This Row],[HH]], 0)</f>
        <v>0</v>
      </c>
      <c r="K19" s="28" t="str">
        <f t="shared" si="1"/>
        <v>MUITO BOA</v>
      </c>
    </row>
    <row r="20" spans="1:11">
      <c r="A20" s="16">
        <v>46023</v>
      </c>
      <c r="B20" s="14" t="s">
        <v>39</v>
      </c>
      <c r="C20" s="29">
        <v>13488.879166666673</v>
      </c>
      <c r="D20" s="29">
        <v>355.99930555555551</v>
      </c>
      <c r="E20" s="29">
        <v>13132.879861111118</v>
      </c>
      <c r="F20" s="23"/>
      <c r="G20" s="23"/>
      <c r="H20" s="31">
        <f>IF(Tabela3[[#This Row],[HH]]&gt;0, (Tabela3[[#This Row],[Acidentes]]*1000000)/Tabela3[[#This Row],[HH]], 0)</f>
        <v>0</v>
      </c>
      <c r="I20" s="32" t="str">
        <f t="shared" si="0"/>
        <v>MUITO BOA</v>
      </c>
      <c r="J20" s="31">
        <f>IF(Tabela3[[#This Row],[HH]]&gt;0, (Tabela3[[#This Row],[Afastamento]]*1000000)/Tabela3[[#This Row],[HH]], 0)</f>
        <v>0</v>
      </c>
      <c r="K20" s="28" t="str">
        <f t="shared" si="1"/>
        <v>MUITO BOA</v>
      </c>
    </row>
    <row r="21" spans="1:11">
      <c r="A21" s="16">
        <v>46023</v>
      </c>
      <c r="B21" s="14" t="s">
        <v>785</v>
      </c>
      <c r="C21" s="29">
        <v>61.663888888888891</v>
      </c>
      <c r="D21" s="29">
        <v>0</v>
      </c>
      <c r="E21" s="29">
        <v>61.663888888888891</v>
      </c>
      <c r="F21" s="23"/>
      <c r="G21" s="23"/>
      <c r="H21" s="31">
        <f>IF(Tabela3[[#This Row],[HH]]&gt;0, (Tabela3[[#This Row],[Acidentes]]*1000000)/Tabela3[[#This Row],[HH]], 0)</f>
        <v>0</v>
      </c>
      <c r="I21" s="32" t="str">
        <f t="shared" si="0"/>
        <v>MUITO BOA</v>
      </c>
      <c r="J21" s="31">
        <f>IF(Tabela3[[#This Row],[HH]]&gt;0, (Tabela3[[#This Row],[Afastamento]]*1000000)/Tabela3[[#This Row],[HH]], 0)</f>
        <v>0</v>
      </c>
      <c r="K21" s="28" t="str">
        <f t="shared" si="1"/>
        <v>MUITO BOA</v>
      </c>
    </row>
    <row r="22" spans="1:11">
      <c r="A22" s="16">
        <v>46023</v>
      </c>
      <c r="B22" s="14" t="s">
        <v>33</v>
      </c>
      <c r="C22" s="29">
        <v>237.81805555555559</v>
      </c>
      <c r="D22" s="29">
        <v>0</v>
      </c>
      <c r="E22" s="29">
        <v>237.81805555555559</v>
      </c>
      <c r="F22" s="23"/>
      <c r="G22" s="23"/>
      <c r="H22" s="31">
        <f>IF(Tabela3[[#This Row],[HH]]&gt;0, (Tabela3[[#This Row],[Acidentes]]*1000000)/Tabela3[[#This Row],[HH]], 0)</f>
        <v>0</v>
      </c>
      <c r="I22" s="32" t="str">
        <f t="shared" si="0"/>
        <v>MUITO BOA</v>
      </c>
      <c r="J22" s="31">
        <f>IF(Tabela3[[#This Row],[HH]]&gt;0, (Tabela3[[#This Row],[Afastamento]]*1000000)/Tabela3[[#This Row],[HH]], 0)</f>
        <v>0</v>
      </c>
      <c r="K22" s="28" t="str">
        <f t="shared" si="1"/>
        <v>MUITO BOA</v>
      </c>
    </row>
    <row r="23" spans="1:11">
      <c r="A23" s="16">
        <v>46054</v>
      </c>
      <c r="B23" s="14" t="s">
        <v>769</v>
      </c>
      <c r="C23" s="29">
        <v>2487.5</v>
      </c>
      <c r="D23" s="29">
        <v>32.366666666666667</v>
      </c>
      <c r="E23" s="29">
        <v>2455.1333333333332</v>
      </c>
      <c r="F23" s="30"/>
      <c r="G23" s="30"/>
      <c r="H23" s="31">
        <f>IF(Tabela3[[#This Row],[HH]]&gt;0, (Tabela3[[#This Row],[Acidentes]]*1000000)/Tabela3[[#This Row],[HH]], 0)</f>
        <v>0</v>
      </c>
      <c r="I23" s="32" t="str">
        <f t="shared" si="0"/>
        <v>MUITO BOA</v>
      </c>
      <c r="J23" s="31">
        <f>IF(Tabela3[[#This Row],[HH]]&gt;0, (Tabela3[[#This Row],[Afastamento]]*1000000)/Tabela3[[#This Row],[HH]], 0)</f>
        <v>0</v>
      </c>
      <c r="K23" s="28" t="str">
        <f t="shared" si="1"/>
        <v>MUITO BOA</v>
      </c>
    </row>
    <row r="24" spans="1:11">
      <c r="A24" s="16">
        <v>46054</v>
      </c>
      <c r="B24" s="14" t="s">
        <v>770</v>
      </c>
      <c r="C24" s="29">
        <v>4599.6395833333345</v>
      </c>
      <c r="D24" s="29">
        <v>43.75</v>
      </c>
      <c r="E24" s="29">
        <v>4555.8895833333345</v>
      </c>
      <c r="F24" s="30"/>
      <c r="G24" s="30"/>
      <c r="H24" s="31">
        <f>IF(Tabela3[[#This Row],[HH]]&gt;0, (Tabela3[[#This Row],[Acidentes]]*1000000)/Tabela3[[#This Row],[HH]], 0)</f>
        <v>0</v>
      </c>
      <c r="I24" s="32" t="str">
        <f t="shared" si="0"/>
        <v>MUITO BOA</v>
      </c>
      <c r="J24" s="31">
        <f>IF(Tabela3[[#This Row],[HH]]&gt;0, (Tabela3[[#This Row],[Afastamento]]*1000000)/Tabela3[[#This Row],[HH]], 0)</f>
        <v>0</v>
      </c>
      <c r="K24" s="28" t="str">
        <f t="shared" si="1"/>
        <v>MUITO BOA</v>
      </c>
    </row>
    <row r="25" spans="1:11">
      <c r="A25" s="16">
        <v>46054</v>
      </c>
      <c r="B25" s="14" t="s">
        <v>771</v>
      </c>
      <c r="C25" s="29">
        <v>64647.135416666701</v>
      </c>
      <c r="D25" s="29">
        <v>2014.379861111111</v>
      </c>
      <c r="E25" s="29">
        <v>62632.755555555588</v>
      </c>
      <c r="F25" s="30"/>
      <c r="G25" s="30"/>
      <c r="H25" s="31">
        <f>IF(Tabela3[[#This Row],[HH]]&gt;0, (Tabela3[[#This Row],[Acidentes]]*1000000)/Tabela3[[#This Row],[HH]], 0)</f>
        <v>0</v>
      </c>
      <c r="I25" s="32" t="str">
        <f t="shared" si="0"/>
        <v>MUITO BOA</v>
      </c>
      <c r="J25" s="31">
        <f>IF(Tabela3[[#This Row],[HH]]&gt;0, (Tabela3[[#This Row],[Afastamento]]*1000000)/Tabela3[[#This Row],[HH]], 0)</f>
        <v>0</v>
      </c>
      <c r="K25" s="28" t="str">
        <f t="shared" si="1"/>
        <v>MUITO BOA</v>
      </c>
    </row>
    <row r="26" spans="1:11">
      <c r="A26" s="16">
        <v>46054</v>
      </c>
      <c r="B26" s="14" t="s">
        <v>772</v>
      </c>
      <c r="C26" s="29">
        <v>175.40625000000003</v>
      </c>
      <c r="D26" s="29">
        <v>0</v>
      </c>
      <c r="E26" s="29">
        <v>175.40625000000003</v>
      </c>
      <c r="F26" s="30"/>
      <c r="G26" s="30"/>
      <c r="H26" s="31">
        <f>IF(Tabela3[[#This Row],[HH]]&gt;0, (Tabela3[[#This Row],[Acidentes]]*1000000)/Tabela3[[#This Row],[HH]], 0)</f>
        <v>0</v>
      </c>
      <c r="I26" s="32" t="str">
        <f t="shared" si="0"/>
        <v>MUITO BOA</v>
      </c>
      <c r="J26" s="31">
        <f>IF(Tabela3[[#This Row],[HH]]&gt;0, (Tabela3[[#This Row],[Afastamento]]*1000000)/Tabela3[[#This Row],[HH]], 0)</f>
        <v>0</v>
      </c>
      <c r="K26" s="28" t="str">
        <f t="shared" si="1"/>
        <v>MUITO BOA</v>
      </c>
    </row>
    <row r="27" spans="1:11">
      <c r="A27" s="16">
        <v>46054</v>
      </c>
      <c r="B27" s="14" t="s">
        <v>773</v>
      </c>
      <c r="C27" s="29">
        <v>1987.8881944444449</v>
      </c>
      <c r="D27" s="29">
        <v>124.94861111111111</v>
      </c>
      <c r="E27" s="29">
        <v>1862.9395833333338</v>
      </c>
      <c r="F27" s="30"/>
      <c r="G27" s="30"/>
      <c r="H27" s="31">
        <f>IF(Tabela3[[#This Row],[HH]]&gt;0, (Tabela3[[#This Row],[Acidentes]]*1000000)/Tabela3[[#This Row],[HH]], 0)</f>
        <v>0</v>
      </c>
      <c r="I27" s="32" t="str">
        <f t="shared" si="0"/>
        <v>MUITO BOA</v>
      </c>
      <c r="J27" s="31">
        <f>IF(Tabela3[[#This Row],[HH]]&gt;0, (Tabela3[[#This Row],[Afastamento]]*1000000)/Tabela3[[#This Row],[HH]], 0)</f>
        <v>0</v>
      </c>
      <c r="K27" s="28" t="str">
        <f t="shared" si="1"/>
        <v>MUITO BOA</v>
      </c>
    </row>
    <row r="28" spans="1:11">
      <c r="A28" s="16">
        <v>46054</v>
      </c>
      <c r="B28" s="14" t="s">
        <v>774</v>
      </c>
      <c r="C28" s="29">
        <v>1981.9041666666674</v>
      </c>
      <c r="D28" s="29">
        <v>73.666666666666671</v>
      </c>
      <c r="E28" s="29">
        <v>1908.2375000000006</v>
      </c>
      <c r="F28" s="30"/>
      <c r="G28" s="30"/>
      <c r="H28" s="31">
        <f>IF(Tabela3[[#This Row],[HH]]&gt;0, (Tabela3[[#This Row],[Acidentes]]*1000000)/Tabela3[[#This Row],[HH]], 0)</f>
        <v>0</v>
      </c>
      <c r="I28" s="32" t="str">
        <f t="shared" si="0"/>
        <v>MUITO BOA</v>
      </c>
      <c r="J28" s="31">
        <f>IF(Tabela3[[#This Row],[HH]]&gt;0, (Tabela3[[#This Row],[Afastamento]]*1000000)/Tabela3[[#This Row],[HH]], 0)</f>
        <v>0</v>
      </c>
      <c r="K28" s="28" t="str">
        <f t="shared" si="1"/>
        <v>MUITO BOA</v>
      </c>
    </row>
    <row r="29" spans="1:11">
      <c r="A29" s="16">
        <v>46054</v>
      </c>
      <c r="B29" s="14" t="s">
        <v>775</v>
      </c>
      <c r="C29" s="29">
        <v>3916.8097222222209</v>
      </c>
      <c r="D29" s="29">
        <v>155.45000000000002</v>
      </c>
      <c r="E29" s="29">
        <v>3761.3597222222211</v>
      </c>
      <c r="F29" s="30"/>
      <c r="G29" s="30"/>
      <c r="H29" s="31">
        <f>IF(Tabela3[[#This Row],[HH]]&gt;0, (Tabela3[[#This Row],[Acidentes]]*1000000)/Tabela3[[#This Row],[HH]], 0)</f>
        <v>0</v>
      </c>
      <c r="I29" s="32" t="str">
        <f t="shared" si="0"/>
        <v>MUITO BOA</v>
      </c>
      <c r="J29" s="31">
        <f>IF(Tabela3[[#This Row],[HH]]&gt;0, (Tabela3[[#This Row],[Afastamento]]*1000000)/Tabela3[[#This Row],[HH]], 0)</f>
        <v>0</v>
      </c>
      <c r="K29" s="28" t="str">
        <f t="shared" si="1"/>
        <v>MUITO BOA</v>
      </c>
    </row>
    <row r="30" spans="1:11">
      <c r="A30" s="16">
        <v>46054</v>
      </c>
      <c r="B30" s="14" t="s">
        <v>776</v>
      </c>
      <c r="C30" s="29">
        <v>28300.97791666667</v>
      </c>
      <c r="D30" s="29">
        <v>990.81527777777785</v>
      </c>
      <c r="E30" s="29">
        <v>27310.162638888891</v>
      </c>
      <c r="F30" s="30"/>
      <c r="G30" s="30"/>
      <c r="H30" s="31">
        <f>IF(Tabela3[[#This Row],[HH]]&gt;0, (Tabela3[[#This Row],[Acidentes]]*1000000)/Tabela3[[#This Row],[HH]], 0)</f>
        <v>0</v>
      </c>
      <c r="I30" s="32" t="str">
        <f t="shared" si="0"/>
        <v>MUITO BOA</v>
      </c>
      <c r="J30" s="31">
        <f>IF(Tabela3[[#This Row],[HH]]&gt;0, (Tabela3[[#This Row],[Afastamento]]*1000000)/Tabela3[[#This Row],[HH]], 0)</f>
        <v>0</v>
      </c>
      <c r="K30" s="28" t="str">
        <f t="shared" si="1"/>
        <v>MUITO BOA</v>
      </c>
    </row>
    <row r="31" spans="1:11">
      <c r="A31" s="16">
        <v>46054</v>
      </c>
      <c r="B31" s="14" t="s">
        <v>777</v>
      </c>
      <c r="C31" s="29">
        <v>3160.6493055555552</v>
      </c>
      <c r="D31" s="29">
        <v>42.166666666666664</v>
      </c>
      <c r="E31" s="29">
        <v>3118.4826388888887</v>
      </c>
      <c r="F31" s="30"/>
      <c r="G31" s="30"/>
      <c r="H31" s="31">
        <f>IF(Tabela3[[#This Row],[HH]]&gt;0, (Tabela3[[#This Row],[Acidentes]]*1000000)/Tabela3[[#This Row],[HH]], 0)</f>
        <v>0</v>
      </c>
      <c r="I31" s="32" t="str">
        <f t="shared" si="0"/>
        <v>MUITO BOA</v>
      </c>
      <c r="J31" s="31">
        <f>IF(Tabela3[[#This Row],[HH]]&gt;0, (Tabela3[[#This Row],[Afastamento]]*1000000)/Tabela3[[#This Row],[HH]], 0)</f>
        <v>0</v>
      </c>
      <c r="K31" s="28" t="str">
        <f t="shared" si="1"/>
        <v>MUITO BOA</v>
      </c>
    </row>
    <row r="32" spans="1:11">
      <c r="A32" s="16">
        <v>46054</v>
      </c>
      <c r="B32" s="14" t="s">
        <v>778</v>
      </c>
      <c r="C32" s="29">
        <v>324.64722222222224</v>
      </c>
      <c r="D32" s="29">
        <v>0</v>
      </c>
      <c r="E32" s="29">
        <v>324.64722222222224</v>
      </c>
      <c r="F32" s="30"/>
      <c r="G32" s="30"/>
      <c r="H32" s="31">
        <f>IF(Tabela3[[#This Row],[HH]]&gt;0, (Tabela3[[#This Row],[Acidentes]]*1000000)/Tabela3[[#This Row],[HH]], 0)</f>
        <v>0</v>
      </c>
      <c r="I32" s="32" t="str">
        <f t="shared" si="0"/>
        <v>MUITO BOA</v>
      </c>
      <c r="J32" s="31">
        <f>IF(Tabela3[[#This Row],[HH]]&gt;0, (Tabela3[[#This Row],[Afastamento]]*1000000)/Tabela3[[#This Row],[HH]], 0)</f>
        <v>0</v>
      </c>
      <c r="K32" s="28" t="str">
        <f t="shared" si="1"/>
        <v>MUITO BOA</v>
      </c>
    </row>
    <row r="33" spans="1:11">
      <c r="A33" s="16">
        <v>46054</v>
      </c>
      <c r="B33" s="14" t="s">
        <v>779</v>
      </c>
      <c r="C33" s="29">
        <v>4707.3131944444431</v>
      </c>
      <c r="D33" s="29">
        <v>121.26666666666668</v>
      </c>
      <c r="E33" s="29">
        <v>4586.0465277777766</v>
      </c>
      <c r="F33" s="30"/>
      <c r="G33" s="30"/>
      <c r="H33" s="31">
        <f>IF(Tabela3[[#This Row],[HH]]&gt;0, (Tabela3[[#This Row],[Acidentes]]*1000000)/Tabela3[[#This Row],[HH]], 0)</f>
        <v>0</v>
      </c>
      <c r="I33" s="32" t="str">
        <f t="shared" si="0"/>
        <v>MUITO BOA</v>
      </c>
      <c r="J33" s="31">
        <f>IF(Tabela3[[#This Row],[HH]]&gt;0, (Tabela3[[#This Row],[Afastamento]]*1000000)/Tabela3[[#This Row],[HH]], 0)</f>
        <v>0</v>
      </c>
      <c r="K33" s="28" t="str">
        <f t="shared" si="1"/>
        <v>MUITO BOA</v>
      </c>
    </row>
    <row r="34" spans="1:11">
      <c r="A34" s="16">
        <v>46054</v>
      </c>
      <c r="B34" s="14" t="s">
        <v>780</v>
      </c>
      <c r="C34" s="29">
        <v>368.6444444444445</v>
      </c>
      <c r="D34" s="29">
        <v>4.5666666666666664</v>
      </c>
      <c r="E34" s="29">
        <v>364.07777777777784</v>
      </c>
      <c r="F34" s="30"/>
      <c r="G34" s="30"/>
      <c r="H34" s="31">
        <f>IF(Tabela3[[#This Row],[HH]]&gt;0, (Tabela3[[#This Row],[Acidentes]]*1000000)/Tabela3[[#This Row],[HH]], 0)</f>
        <v>0</v>
      </c>
      <c r="I34" s="32" t="str">
        <f t="shared" ref="I34:I65" si="2">IF(H34&lt;=20, "MUITO BOA", IF(H34&lt;=40, "BOA", IF(H34&lt;=60, "RUIM", "PÉSSIMA")))</f>
        <v>MUITO BOA</v>
      </c>
      <c r="J34" s="31">
        <f>IF(Tabela3[[#This Row],[HH]]&gt;0, (Tabela3[[#This Row],[Afastamento]]*1000000)/Tabela3[[#This Row],[HH]], 0)</f>
        <v>0</v>
      </c>
      <c r="K34" s="28" t="str">
        <f t="shared" ref="K34:K65" si="3">IF(J34&lt;=500, "MUITO BOA", IF(J34&lt;=1000, "BOA", IF(J34&lt;=2000, "RUIM", "PÉSSIMA")))</f>
        <v>MUITO BOA</v>
      </c>
    </row>
    <row r="35" spans="1:11">
      <c r="A35" s="16">
        <v>46054</v>
      </c>
      <c r="B35" s="14" t="s">
        <v>781</v>
      </c>
      <c r="C35" s="29">
        <v>2848.8361111111117</v>
      </c>
      <c r="D35" s="29">
        <v>54.716666666666669</v>
      </c>
      <c r="E35" s="29">
        <v>2794.119444444445</v>
      </c>
      <c r="F35" s="30"/>
      <c r="G35" s="30"/>
      <c r="H35" s="31">
        <f>IF(Tabela3[[#This Row],[HH]]&gt;0, (Tabela3[[#This Row],[Acidentes]]*1000000)/Tabela3[[#This Row],[HH]], 0)</f>
        <v>0</v>
      </c>
      <c r="I35" s="32" t="str">
        <f t="shared" si="2"/>
        <v>MUITO BOA</v>
      </c>
      <c r="J35" s="31">
        <f>IF(Tabela3[[#This Row],[HH]]&gt;0, (Tabela3[[#This Row],[Afastamento]]*1000000)/Tabela3[[#This Row],[HH]], 0)</f>
        <v>0</v>
      </c>
      <c r="K35" s="28" t="str">
        <f t="shared" si="3"/>
        <v>MUITO BOA</v>
      </c>
    </row>
    <row r="36" spans="1:11">
      <c r="A36" s="16">
        <v>46054</v>
      </c>
      <c r="B36" s="14" t="s">
        <v>782</v>
      </c>
      <c r="C36" s="29">
        <v>3831.3423611111107</v>
      </c>
      <c r="D36" s="29">
        <v>59.166666666666657</v>
      </c>
      <c r="E36" s="29">
        <v>3772.1756944444442</v>
      </c>
      <c r="F36" s="30"/>
      <c r="G36" s="30"/>
      <c r="H36" s="31">
        <f>IF(Tabela3[[#This Row],[HH]]&gt;0, (Tabela3[[#This Row],[Acidentes]]*1000000)/Tabela3[[#This Row],[HH]], 0)</f>
        <v>0</v>
      </c>
      <c r="I36" s="32" t="str">
        <f t="shared" si="2"/>
        <v>MUITO BOA</v>
      </c>
      <c r="J36" s="31">
        <f>IF(Tabela3[[#This Row],[HH]]&gt;0, (Tabela3[[#This Row],[Afastamento]]*1000000)/Tabela3[[#This Row],[HH]], 0)</f>
        <v>0</v>
      </c>
      <c r="K36" s="28" t="str">
        <f t="shared" si="3"/>
        <v>MUITO BOA</v>
      </c>
    </row>
    <row r="37" spans="1:11">
      <c r="A37" s="16">
        <v>46054</v>
      </c>
      <c r="B37" s="14" t="s">
        <v>783</v>
      </c>
      <c r="C37" s="29">
        <v>14883.598611111109</v>
      </c>
      <c r="D37" s="29">
        <v>379.73333333333335</v>
      </c>
      <c r="E37" s="29">
        <v>14503.865277777775</v>
      </c>
      <c r="F37" s="30"/>
      <c r="G37" s="30"/>
      <c r="H37" s="31">
        <f>IF(Tabela3[[#This Row],[HH]]&gt;0, (Tabela3[[#This Row],[Acidentes]]*1000000)/Tabela3[[#This Row],[HH]], 0)</f>
        <v>0</v>
      </c>
      <c r="I37" s="32" t="str">
        <f t="shared" si="2"/>
        <v>MUITO BOA</v>
      </c>
      <c r="J37" s="31">
        <f>IF(Tabela3[[#This Row],[HH]]&gt;0, (Tabela3[[#This Row],[Afastamento]]*1000000)/Tabela3[[#This Row],[HH]], 0)</f>
        <v>0</v>
      </c>
      <c r="K37" s="28" t="str">
        <f t="shared" si="3"/>
        <v>MUITO BOA</v>
      </c>
    </row>
    <row r="38" spans="1:11">
      <c r="A38" s="16">
        <v>46054</v>
      </c>
      <c r="B38" s="14" t="s">
        <v>180</v>
      </c>
      <c r="C38" s="29">
        <v>2563.2618055555558</v>
      </c>
      <c r="D38" s="29">
        <v>26.383333333333333</v>
      </c>
      <c r="E38" s="29">
        <v>2536.8784722222226</v>
      </c>
      <c r="F38" s="30"/>
      <c r="G38" s="30"/>
      <c r="H38" s="31">
        <f>IF(Tabela3[[#This Row],[HH]]&gt;0, (Tabela3[[#This Row],[Acidentes]]*1000000)/Tabela3[[#This Row],[HH]], 0)</f>
        <v>0</v>
      </c>
      <c r="I38" s="32" t="str">
        <f t="shared" si="2"/>
        <v>MUITO BOA</v>
      </c>
      <c r="J38" s="31">
        <f>IF(Tabela3[[#This Row],[HH]]&gt;0, (Tabela3[[#This Row],[Afastamento]]*1000000)/Tabela3[[#This Row],[HH]], 0)</f>
        <v>0</v>
      </c>
      <c r="K38" s="28" t="str">
        <f t="shared" si="3"/>
        <v>MUITO BOA</v>
      </c>
    </row>
    <row r="39" spans="1:11">
      <c r="A39" s="16">
        <v>46054</v>
      </c>
      <c r="B39" s="14" t="s">
        <v>39</v>
      </c>
      <c r="C39" s="29">
        <v>11829.143749999999</v>
      </c>
      <c r="D39" s="29">
        <v>629.36597222222213</v>
      </c>
      <c r="E39" s="29">
        <v>11199.777777777777</v>
      </c>
      <c r="F39" s="30"/>
      <c r="G39" s="30"/>
      <c r="H39" s="31">
        <f>IF(Tabela3[[#This Row],[HH]]&gt;0, (Tabela3[[#This Row],[Acidentes]]*1000000)/Tabela3[[#This Row],[HH]], 0)</f>
        <v>0</v>
      </c>
      <c r="I39" s="32" t="str">
        <f t="shared" si="2"/>
        <v>MUITO BOA</v>
      </c>
      <c r="J39" s="31">
        <f>IF(Tabela3[[#This Row],[HH]]&gt;0, (Tabela3[[#This Row],[Afastamento]]*1000000)/Tabela3[[#This Row],[HH]], 0)</f>
        <v>0</v>
      </c>
      <c r="K39" s="28" t="str">
        <f t="shared" si="3"/>
        <v>MUITO BOA</v>
      </c>
    </row>
    <row r="40" spans="1:11">
      <c r="A40" s="16">
        <v>46054</v>
      </c>
      <c r="B40" s="14" t="s">
        <v>33</v>
      </c>
      <c r="C40" s="29">
        <v>184.32222222222225</v>
      </c>
      <c r="D40" s="29">
        <v>0</v>
      </c>
      <c r="E40" s="29">
        <v>184.32222222222225</v>
      </c>
      <c r="F40" s="30"/>
      <c r="G40" s="30"/>
      <c r="H40" s="31">
        <f>IF(Tabela3[[#This Row],[HH]]&gt;0, (Tabela3[[#This Row],[Acidentes]]*1000000)/Tabela3[[#This Row],[HH]], 0)</f>
        <v>0</v>
      </c>
      <c r="I40" s="32" t="str">
        <f t="shared" si="2"/>
        <v>MUITO BOA</v>
      </c>
      <c r="J40" s="31">
        <f>IF(Tabela3[[#This Row],[HH]]&gt;0, (Tabela3[[#This Row],[Afastamento]]*1000000)/Tabela3[[#This Row],[HH]], 0)</f>
        <v>0</v>
      </c>
      <c r="K40" s="28" t="str">
        <f t="shared" si="3"/>
        <v>MUITO BOA</v>
      </c>
    </row>
    <row r="41" spans="1:11">
      <c r="A41" s="16">
        <v>46082</v>
      </c>
      <c r="B41" s="14" t="s">
        <v>769</v>
      </c>
      <c r="C41" s="29">
        <v>2258</v>
      </c>
      <c r="D41" s="29">
        <v>17.2</v>
      </c>
      <c r="E41" s="29">
        <v>2240.8000000000002</v>
      </c>
      <c r="F41" s="30"/>
      <c r="G41" s="30"/>
      <c r="H41" s="31">
        <f>IF(Tabela3[[#This Row],[HH]]&gt;0, (Tabela3[[#This Row],[Acidentes]]*1000000)/Tabela3[[#This Row],[HH]], 0)</f>
        <v>0</v>
      </c>
      <c r="I41" s="32" t="str">
        <f t="shared" si="2"/>
        <v>MUITO BOA</v>
      </c>
      <c r="J41" s="31">
        <f>IF(Tabela3[[#This Row],[HH]]&gt;0, (Tabela3[[#This Row],[Afastamento]]*1000000)/Tabela3[[#This Row],[HH]], 0)</f>
        <v>0</v>
      </c>
      <c r="K41" s="28" t="str">
        <f t="shared" si="3"/>
        <v>MUITO BOA</v>
      </c>
    </row>
    <row r="42" spans="1:11">
      <c r="A42" s="16">
        <v>46082</v>
      </c>
      <c r="B42" s="14" t="s">
        <v>770</v>
      </c>
      <c r="C42" s="29">
        <v>4513.1673611111128</v>
      </c>
      <c r="D42" s="29">
        <v>105.80000000000003</v>
      </c>
      <c r="E42" s="29">
        <v>4407.3673611111126</v>
      </c>
      <c r="F42" s="30"/>
      <c r="G42" s="30"/>
      <c r="H42" s="31">
        <f>IF(Tabela3[[#This Row],[HH]]&gt;0, (Tabela3[[#This Row],[Acidentes]]*1000000)/Tabela3[[#This Row],[HH]], 0)</f>
        <v>0</v>
      </c>
      <c r="I42" s="32" t="str">
        <f t="shared" si="2"/>
        <v>MUITO BOA</v>
      </c>
      <c r="J42" s="31">
        <f>IF(Tabela3[[#This Row],[HH]]&gt;0, (Tabela3[[#This Row],[Afastamento]]*1000000)/Tabela3[[#This Row],[HH]], 0)</f>
        <v>0</v>
      </c>
      <c r="K42" s="28" t="str">
        <f t="shared" si="3"/>
        <v>MUITO BOA</v>
      </c>
    </row>
    <row r="43" spans="1:11">
      <c r="A43" s="16">
        <v>46082</v>
      </c>
      <c r="B43" s="14" t="s">
        <v>771</v>
      </c>
      <c r="C43" s="29">
        <v>63550.33194444445</v>
      </c>
      <c r="D43" s="29">
        <v>2258.2652777777771</v>
      </c>
      <c r="E43" s="29">
        <v>61292.066666666673</v>
      </c>
      <c r="F43" s="30"/>
      <c r="G43" s="30"/>
      <c r="H43" s="31">
        <f>IF(Tabela3[[#This Row],[HH]]&gt;0, (Tabela3[[#This Row],[Acidentes]]*1000000)/Tabela3[[#This Row],[HH]], 0)</f>
        <v>0</v>
      </c>
      <c r="I43" s="32" t="str">
        <f t="shared" si="2"/>
        <v>MUITO BOA</v>
      </c>
      <c r="J43" s="31">
        <f>IF(Tabela3[[#This Row],[HH]]&gt;0, (Tabela3[[#This Row],[Afastamento]]*1000000)/Tabela3[[#This Row],[HH]], 0)</f>
        <v>0</v>
      </c>
      <c r="K43" s="28" t="str">
        <f t="shared" si="3"/>
        <v>MUITO BOA</v>
      </c>
    </row>
    <row r="44" spans="1:11">
      <c r="A44" s="16">
        <v>46082</v>
      </c>
      <c r="B44" s="14" t="s">
        <v>772</v>
      </c>
      <c r="C44" s="29">
        <v>175.98888888888891</v>
      </c>
      <c r="D44" s="29">
        <v>0</v>
      </c>
      <c r="E44" s="29">
        <v>175.98888888888891</v>
      </c>
      <c r="F44" s="30"/>
      <c r="G44" s="30"/>
      <c r="H44" s="31">
        <f>IF(Tabela3[[#This Row],[HH]]&gt;0, (Tabela3[[#This Row],[Acidentes]]*1000000)/Tabela3[[#This Row],[HH]], 0)</f>
        <v>0</v>
      </c>
      <c r="I44" s="32" t="str">
        <f t="shared" si="2"/>
        <v>MUITO BOA</v>
      </c>
      <c r="J44" s="31">
        <f>IF(Tabela3[[#This Row],[HH]]&gt;0, (Tabela3[[#This Row],[Afastamento]]*1000000)/Tabela3[[#This Row],[HH]], 0)</f>
        <v>0</v>
      </c>
      <c r="K44" s="28" t="str">
        <f t="shared" si="3"/>
        <v>MUITO BOA</v>
      </c>
    </row>
    <row r="45" spans="1:11">
      <c r="A45" s="16">
        <v>46082</v>
      </c>
      <c r="B45" s="14" t="s">
        <v>773</v>
      </c>
      <c r="C45" s="29">
        <v>2306.026388888889</v>
      </c>
      <c r="D45" s="29">
        <v>52.749305555555559</v>
      </c>
      <c r="E45" s="29">
        <v>2253.2770833333334</v>
      </c>
      <c r="F45" s="30"/>
      <c r="G45" s="30"/>
      <c r="H45" s="31">
        <f>IF(Tabela3[[#This Row],[HH]]&gt;0, (Tabela3[[#This Row],[Acidentes]]*1000000)/Tabela3[[#This Row],[HH]], 0)</f>
        <v>0</v>
      </c>
      <c r="I45" s="32" t="str">
        <f t="shared" si="2"/>
        <v>MUITO BOA</v>
      </c>
      <c r="J45" s="31">
        <f>IF(Tabela3[[#This Row],[HH]]&gt;0, (Tabela3[[#This Row],[Afastamento]]*1000000)/Tabela3[[#This Row],[HH]], 0)</f>
        <v>0</v>
      </c>
      <c r="K45" s="28" t="str">
        <f t="shared" si="3"/>
        <v>MUITO BOA</v>
      </c>
    </row>
    <row r="46" spans="1:11">
      <c r="A46" s="16">
        <v>46082</v>
      </c>
      <c r="B46" s="14" t="s">
        <v>774</v>
      </c>
      <c r="C46" s="29">
        <v>1917.4951388888887</v>
      </c>
      <c r="D46" s="29">
        <v>197.14999999999998</v>
      </c>
      <c r="E46" s="29">
        <v>1720.3451388888889</v>
      </c>
      <c r="F46" s="30"/>
      <c r="G46" s="30"/>
      <c r="H46" s="31">
        <f>IF(Tabela3[[#This Row],[HH]]&gt;0, (Tabela3[[#This Row],[Acidentes]]*1000000)/Tabela3[[#This Row],[HH]], 0)</f>
        <v>0</v>
      </c>
      <c r="I46" s="32" t="str">
        <f t="shared" si="2"/>
        <v>MUITO BOA</v>
      </c>
      <c r="J46" s="31">
        <f>IF(Tabela3[[#This Row],[HH]]&gt;0, (Tabela3[[#This Row],[Afastamento]]*1000000)/Tabela3[[#This Row],[HH]], 0)</f>
        <v>0</v>
      </c>
      <c r="K46" s="28" t="str">
        <f t="shared" si="3"/>
        <v>MUITO BOA</v>
      </c>
    </row>
    <row r="47" spans="1:11">
      <c r="A47" s="16">
        <v>46082</v>
      </c>
      <c r="B47" s="14" t="s">
        <v>775</v>
      </c>
      <c r="C47" s="29">
        <v>3862.306250000001</v>
      </c>
      <c r="D47" s="29">
        <v>152.00000000000003</v>
      </c>
      <c r="E47" s="29">
        <v>3710.306250000001</v>
      </c>
      <c r="F47" s="30"/>
      <c r="G47" s="30"/>
      <c r="H47" s="31">
        <f>IF(Tabela3[[#This Row],[HH]]&gt;0, (Tabela3[[#This Row],[Acidentes]]*1000000)/Tabela3[[#This Row],[HH]], 0)</f>
        <v>0</v>
      </c>
      <c r="I47" s="32" t="str">
        <f t="shared" si="2"/>
        <v>MUITO BOA</v>
      </c>
      <c r="J47" s="31">
        <f>IF(Tabela3[[#This Row],[HH]]&gt;0, (Tabela3[[#This Row],[Afastamento]]*1000000)/Tabela3[[#This Row],[HH]], 0)</f>
        <v>0</v>
      </c>
      <c r="K47" s="28" t="str">
        <f t="shared" si="3"/>
        <v>MUITO BOA</v>
      </c>
    </row>
    <row r="48" spans="1:11">
      <c r="A48" s="16">
        <v>46082</v>
      </c>
      <c r="B48" s="14" t="s">
        <v>776</v>
      </c>
      <c r="C48" s="29">
        <v>28466.886805555565</v>
      </c>
      <c r="D48" s="29">
        <v>954.3000000000003</v>
      </c>
      <c r="E48" s="29">
        <v>27512.586805555566</v>
      </c>
      <c r="F48" s="30"/>
      <c r="G48" s="30"/>
      <c r="H48" s="31">
        <f>IF(Tabela3[[#This Row],[HH]]&gt;0, (Tabela3[[#This Row],[Acidentes]]*1000000)/Tabela3[[#This Row],[HH]], 0)</f>
        <v>0</v>
      </c>
      <c r="I48" s="32" t="str">
        <f t="shared" si="2"/>
        <v>MUITO BOA</v>
      </c>
      <c r="J48" s="31">
        <f>IF(Tabela3[[#This Row],[HH]]&gt;0, (Tabela3[[#This Row],[Afastamento]]*1000000)/Tabela3[[#This Row],[HH]], 0)</f>
        <v>0</v>
      </c>
      <c r="K48" s="28" t="str">
        <f t="shared" si="3"/>
        <v>MUITO BOA</v>
      </c>
    </row>
    <row r="49" spans="1:11">
      <c r="A49" s="16">
        <v>46082</v>
      </c>
      <c r="B49" s="14" t="s">
        <v>777</v>
      </c>
      <c r="C49" s="29">
        <v>2972.3222222222225</v>
      </c>
      <c r="D49" s="29">
        <v>2.6166666666666667</v>
      </c>
      <c r="E49" s="29">
        <v>2969.7055555555557</v>
      </c>
      <c r="F49" s="30"/>
      <c r="G49" s="30"/>
      <c r="H49" s="31">
        <f>IF(Tabela3[[#This Row],[HH]]&gt;0, (Tabela3[[#This Row],[Acidentes]]*1000000)/Tabela3[[#This Row],[HH]], 0)</f>
        <v>0</v>
      </c>
      <c r="I49" s="32" t="str">
        <f t="shared" si="2"/>
        <v>MUITO BOA</v>
      </c>
      <c r="J49" s="31">
        <f>IF(Tabela3[[#This Row],[HH]]&gt;0, (Tabela3[[#This Row],[Afastamento]]*1000000)/Tabela3[[#This Row],[HH]], 0)</f>
        <v>0</v>
      </c>
      <c r="K49" s="28" t="str">
        <f t="shared" si="3"/>
        <v>MUITO BOA</v>
      </c>
    </row>
    <row r="50" spans="1:11">
      <c r="A50" s="16">
        <v>46082</v>
      </c>
      <c r="B50" s="14" t="s">
        <v>778</v>
      </c>
      <c r="C50" s="29">
        <v>263.98333333333335</v>
      </c>
      <c r="D50" s="29">
        <v>0</v>
      </c>
      <c r="E50" s="29">
        <v>263.98333333333335</v>
      </c>
      <c r="F50" s="30"/>
      <c r="G50" s="30"/>
      <c r="H50" s="31">
        <f>IF(Tabela3[[#This Row],[HH]]&gt;0, (Tabela3[[#This Row],[Acidentes]]*1000000)/Tabela3[[#This Row],[HH]], 0)</f>
        <v>0</v>
      </c>
      <c r="I50" s="32" t="str">
        <f t="shared" si="2"/>
        <v>MUITO BOA</v>
      </c>
      <c r="J50" s="31">
        <f>IF(Tabela3[[#This Row],[HH]]&gt;0, (Tabela3[[#This Row],[Afastamento]]*1000000)/Tabela3[[#This Row],[HH]], 0)</f>
        <v>0</v>
      </c>
      <c r="K50" s="28" t="str">
        <f t="shared" si="3"/>
        <v>MUITO BOA</v>
      </c>
    </row>
    <row r="51" spans="1:11">
      <c r="A51" s="16">
        <v>46082</v>
      </c>
      <c r="B51" s="14" t="s">
        <v>779</v>
      </c>
      <c r="C51" s="29">
        <v>4765.873611111113</v>
      </c>
      <c r="D51" s="29">
        <v>51.199999999999996</v>
      </c>
      <c r="E51" s="29">
        <v>4714.6736111111131</v>
      </c>
      <c r="F51" s="30"/>
      <c r="G51" s="30"/>
      <c r="H51" s="31">
        <f>IF(Tabela3[[#This Row],[HH]]&gt;0, (Tabela3[[#This Row],[Acidentes]]*1000000)/Tabela3[[#This Row],[HH]], 0)</f>
        <v>0</v>
      </c>
      <c r="I51" s="32" t="str">
        <f t="shared" si="2"/>
        <v>MUITO BOA</v>
      </c>
      <c r="J51" s="31">
        <f>IF(Tabela3[[#This Row],[HH]]&gt;0, (Tabela3[[#This Row],[Afastamento]]*1000000)/Tabela3[[#This Row],[HH]], 0)</f>
        <v>0</v>
      </c>
      <c r="K51" s="28" t="str">
        <f t="shared" si="3"/>
        <v>MUITO BOA</v>
      </c>
    </row>
    <row r="52" spans="1:11">
      <c r="A52" s="16">
        <v>46082</v>
      </c>
      <c r="B52" s="14" t="s">
        <v>780</v>
      </c>
      <c r="C52" s="29">
        <v>351.97777777777782</v>
      </c>
      <c r="D52" s="29">
        <v>0</v>
      </c>
      <c r="E52" s="29">
        <v>351.97777777777782</v>
      </c>
      <c r="F52" s="30"/>
      <c r="G52" s="30"/>
      <c r="H52" s="31">
        <f>IF(Tabela3[[#This Row],[HH]]&gt;0, (Tabela3[[#This Row],[Acidentes]]*1000000)/Tabela3[[#This Row],[HH]], 0)</f>
        <v>0</v>
      </c>
      <c r="I52" s="32" t="str">
        <f t="shared" si="2"/>
        <v>MUITO BOA</v>
      </c>
      <c r="J52" s="31">
        <f>IF(Tabela3[[#This Row],[HH]]&gt;0, (Tabela3[[#This Row],[Afastamento]]*1000000)/Tabela3[[#This Row],[HH]], 0)</f>
        <v>0</v>
      </c>
      <c r="K52" s="28" t="str">
        <f t="shared" si="3"/>
        <v>MUITO BOA</v>
      </c>
    </row>
    <row r="53" spans="1:11">
      <c r="A53" s="16">
        <v>46082</v>
      </c>
      <c r="B53" s="14" t="s">
        <v>781</v>
      </c>
      <c r="C53" s="29">
        <v>2626.0909722222223</v>
      </c>
      <c r="D53" s="29">
        <v>21.632638888888891</v>
      </c>
      <c r="E53" s="29">
        <v>2604.4583333333335</v>
      </c>
      <c r="F53" s="30"/>
      <c r="G53" s="30"/>
      <c r="H53" s="31">
        <f>IF(Tabela3[[#This Row],[HH]]&gt;0, (Tabela3[[#This Row],[Acidentes]]*1000000)/Tabela3[[#This Row],[HH]], 0)</f>
        <v>0</v>
      </c>
      <c r="I53" s="32" t="str">
        <f t="shared" si="2"/>
        <v>MUITO BOA</v>
      </c>
      <c r="J53" s="31">
        <f>IF(Tabela3[[#This Row],[HH]]&gt;0, (Tabela3[[#This Row],[Afastamento]]*1000000)/Tabela3[[#This Row],[HH]], 0)</f>
        <v>0</v>
      </c>
      <c r="K53" s="28" t="str">
        <f t="shared" si="3"/>
        <v>MUITO BOA</v>
      </c>
    </row>
    <row r="54" spans="1:11">
      <c r="A54" s="16">
        <v>46082</v>
      </c>
      <c r="B54" s="14" t="s">
        <v>782</v>
      </c>
      <c r="C54" s="29">
        <v>3827.9520833333345</v>
      </c>
      <c r="D54" s="29">
        <v>111.91666666666666</v>
      </c>
      <c r="E54" s="29">
        <v>3716.035416666668</v>
      </c>
      <c r="F54" s="30"/>
      <c r="G54" s="30"/>
      <c r="H54" s="31">
        <f>IF(Tabela3[[#This Row],[HH]]&gt;0, (Tabela3[[#This Row],[Acidentes]]*1000000)/Tabela3[[#This Row],[HH]], 0)</f>
        <v>0</v>
      </c>
      <c r="I54" s="32" t="str">
        <f t="shared" si="2"/>
        <v>MUITO BOA</v>
      </c>
      <c r="J54" s="31">
        <f>IF(Tabela3[[#This Row],[HH]]&gt;0, (Tabela3[[#This Row],[Afastamento]]*1000000)/Tabela3[[#This Row],[HH]], 0)</f>
        <v>0</v>
      </c>
      <c r="K54" s="28" t="str">
        <f t="shared" si="3"/>
        <v>MUITO BOA</v>
      </c>
    </row>
    <row r="55" spans="1:11">
      <c r="A55" s="16">
        <v>46082</v>
      </c>
      <c r="B55" s="14" t="s">
        <v>783</v>
      </c>
      <c r="C55" s="29">
        <v>14205.161111111114</v>
      </c>
      <c r="D55" s="29">
        <v>357.03333333333342</v>
      </c>
      <c r="E55" s="29">
        <v>13848.127777777781</v>
      </c>
      <c r="F55" s="30"/>
      <c r="G55" s="30"/>
      <c r="H55" s="31">
        <f>IF(Tabela3[[#This Row],[HH]]&gt;0, (Tabela3[[#This Row],[Acidentes]]*1000000)/Tabela3[[#This Row],[HH]], 0)</f>
        <v>0</v>
      </c>
      <c r="I55" s="32" t="str">
        <f t="shared" si="2"/>
        <v>MUITO BOA</v>
      </c>
      <c r="J55" s="31">
        <f>IF(Tabela3[[#This Row],[HH]]&gt;0, (Tabela3[[#This Row],[Afastamento]]*1000000)/Tabela3[[#This Row],[HH]], 0)</f>
        <v>0</v>
      </c>
      <c r="K55" s="28" t="str">
        <f t="shared" si="3"/>
        <v>MUITO BOA</v>
      </c>
    </row>
    <row r="56" spans="1:11">
      <c r="A56" s="16">
        <v>46082</v>
      </c>
      <c r="B56" s="14" t="s">
        <v>180</v>
      </c>
      <c r="C56" s="29">
        <v>2542.9243055555557</v>
      </c>
      <c r="D56" s="29">
        <v>116.8625</v>
      </c>
      <c r="E56" s="29">
        <v>2426.0618055555556</v>
      </c>
      <c r="F56" s="30"/>
      <c r="G56" s="30"/>
      <c r="H56" s="31">
        <f>IF(Tabela3[[#This Row],[HH]]&gt;0, (Tabela3[[#This Row],[Acidentes]]*1000000)/Tabela3[[#This Row],[HH]], 0)</f>
        <v>0</v>
      </c>
      <c r="I56" s="32" t="str">
        <f t="shared" si="2"/>
        <v>MUITO BOA</v>
      </c>
      <c r="J56" s="31">
        <f>IF(Tabela3[[#This Row],[HH]]&gt;0, (Tabela3[[#This Row],[Afastamento]]*1000000)/Tabela3[[#This Row],[HH]], 0)</f>
        <v>0</v>
      </c>
      <c r="K56" s="28" t="str">
        <f t="shared" si="3"/>
        <v>MUITO BOA</v>
      </c>
    </row>
    <row r="57" spans="1:11">
      <c r="A57" s="16">
        <v>46082</v>
      </c>
      <c r="B57" s="14" t="s">
        <v>39</v>
      </c>
      <c r="C57" s="29">
        <v>12097.240277777781</v>
      </c>
      <c r="D57" s="29">
        <v>451.27986111111119</v>
      </c>
      <c r="E57" s="29">
        <v>11645.960416666669</v>
      </c>
      <c r="F57" s="30"/>
      <c r="G57" s="30"/>
      <c r="H57" s="31">
        <f>IF(Tabela3[[#This Row],[HH]]&gt;0, (Tabela3[[#This Row],[Acidentes]]*1000000)/Tabela3[[#This Row],[HH]], 0)</f>
        <v>0</v>
      </c>
      <c r="I57" s="32" t="str">
        <f t="shared" si="2"/>
        <v>MUITO BOA</v>
      </c>
      <c r="J57" s="31">
        <f>IF(Tabela3[[#This Row],[HH]]&gt;0, (Tabela3[[#This Row],[Afastamento]]*1000000)/Tabela3[[#This Row],[HH]], 0)</f>
        <v>0</v>
      </c>
      <c r="K57" s="28" t="str">
        <f t="shared" si="3"/>
        <v>MUITO BOA</v>
      </c>
    </row>
    <row r="58" spans="1:11">
      <c r="A58" s="16">
        <v>46082</v>
      </c>
      <c r="B58" s="14" t="s">
        <v>33</v>
      </c>
      <c r="C58" s="29">
        <v>175.98888888888891</v>
      </c>
      <c r="D58" s="29">
        <v>0</v>
      </c>
      <c r="E58" s="29">
        <v>175.98888888888891</v>
      </c>
      <c r="F58" s="30"/>
      <c r="G58" s="30"/>
      <c r="H58" s="31">
        <f>IF(Tabela3[[#This Row],[HH]]&gt;0, (Tabela3[[#This Row],[Acidentes]]*1000000)/Tabela3[[#This Row],[HH]], 0)</f>
        <v>0</v>
      </c>
      <c r="I58" s="32" t="str">
        <f t="shared" si="2"/>
        <v>MUITO BOA</v>
      </c>
      <c r="J58" s="31">
        <f>IF(Tabela3[[#This Row],[HH]]&gt;0, (Tabela3[[#This Row],[Afastamento]]*1000000)/Tabela3[[#This Row],[HH]], 0)</f>
        <v>0</v>
      </c>
      <c r="K58" s="28" t="str">
        <f t="shared" si="3"/>
        <v>MUITO BOA</v>
      </c>
    </row>
    <row r="59" spans="1:11">
      <c r="A59" s="16">
        <v>46113</v>
      </c>
      <c r="B59" s="14" t="s">
        <v>769</v>
      </c>
      <c r="C59" s="29">
        <v>2935.5</v>
      </c>
      <c r="D59" s="29">
        <v>10.066666666666666</v>
      </c>
      <c r="E59" s="29">
        <v>2925.4333333333334</v>
      </c>
      <c r="F59" s="30"/>
      <c r="G59" s="30"/>
      <c r="H59" s="31">
        <f>IF(Tabela3[[#This Row],[HH]]&gt;0, (Tabela3[[#This Row],[Acidentes]]*1000000)/Tabela3[[#This Row],[HH]], 0)</f>
        <v>0</v>
      </c>
      <c r="I59" s="32" t="str">
        <f t="shared" si="2"/>
        <v>MUITO BOA</v>
      </c>
      <c r="J59" s="31">
        <f>IF(Tabela3[[#This Row],[HH]]&gt;0, (Tabela3[[#This Row],[Afastamento]]*1000000)/Tabela3[[#This Row],[HH]], 0)</f>
        <v>0</v>
      </c>
      <c r="K59" s="28" t="str">
        <f t="shared" si="3"/>
        <v>MUITO BOA</v>
      </c>
    </row>
    <row r="60" spans="1:11">
      <c r="A60" s="16">
        <v>46113</v>
      </c>
      <c r="B60" s="14" t="s">
        <v>770</v>
      </c>
      <c r="C60" s="29">
        <v>5723.5944444444431</v>
      </c>
      <c r="D60" s="29">
        <v>302.84999999999991</v>
      </c>
      <c r="E60" s="29">
        <v>5420.7444444444427</v>
      </c>
      <c r="F60" s="30"/>
      <c r="G60" s="30"/>
      <c r="H60" s="31">
        <f>IF(Tabela3[[#This Row],[HH]]&gt;0, (Tabela3[[#This Row],[Acidentes]]*1000000)/Tabela3[[#This Row],[HH]], 0)</f>
        <v>0</v>
      </c>
      <c r="I60" s="32" t="str">
        <f t="shared" si="2"/>
        <v>MUITO BOA</v>
      </c>
      <c r="J60" s="31">
        <f>IF(Tabela3[[#This Row],[HH]]&gt;0, (Tabela3[[#This Row],[Afastamento]]*1000000)/Tabela3[[#This Row],[HH]], 0)</f>
        <v>0</v>
      </c>
      <c r="K60" s="28" t="str">
        <f t="shared" si="3"/>
        <v>MUITO BOA</v>
      </c>
    </row>
    <row r="61" spans="1:11">
      <c r="A61" s="16">
        <v>46113</v>
      </c>
      <c r="B61" s="14" t="s">
        <v>772</v>
      </c>
      <c r="C61" s="29">
        <v>2791.8166666666666</v>
      </c>
      <c r="D61" s="29">
        <v>84.981250000000017</v>
      </c>
      <c r="E61" s="29">
        <v>2706.8354166666668</v>
      </c>
      <c r="F61" s="30"/>
      <c r="G61" s="30"/>
      <c r="H61" s="31">
        <f>IF(Tabela3[[#This Row],[HH]]&gt;0, (Tabela3[[#This Row],[Acidentes]]*1000000)/Tabela3[[#This Row],[HH]], 0)</f>
        <v>0</v>
      </c>
      <c r="I61" s="32" t="str">
        <f t="shared" si="2"/>
        <v>MUITO BOA</v>
      </c>
      <c r="J61" s="31">
        <f>IF(Tabela3[[#This Row],[HH]]&gt;0, (Tabela3[[#This Row],[Afastamento]]*1000000)/Tabela3[[#This Row],[HH]], 0)</f>
        <v>0</v>
      </c>
      <c r="K61" s="28" t="str">
        <f t="shared" si="3"/>
        <v>MUITO BOA</v>
      </c>
    </row>
    <row r="62" spans="1:11">
      <c r="A62" s="16">
        <v>46113</v>
      </c>
      <c r="B62" s="14" t="s">
        <v>774</v>
      </c>
      <c r="C62" s="29">
        <v>2269.0562500000001</v>
      </c>
      <c r="D62" s="29">
        <v>145.18333333333331</v>
      </c>
      <c r="E62" s="29">
        <v>2123.8729166666667</v>
      </c>
      <c r="F62" s="30"/>
      <c r="G62" s="30"/>
      <c r="H62" s="31">
        <f>IF(Tabela3[[#This Row],[HH]]&gt;0, (Tabela3[[#This Row],[Acidentes]]*1000000)/Tabela3[[#This Row],[HH]], 0)</f>
        <v>0</v>
      </c>
      <c r="I62" s="32" t="str">
        <f t="shared" si="2"/>
        <v>MUITO BOA</v>
      </c>
      <c r="J62" s="31">
        <f>IF(Tabela3[[#This Row],[HH]]&gt;0, (Tabela3[[#This Row],[Afastamento]]*1000000)/Tabela3[[#This Row],[HH]], 0)</f>
        <v>0</v>
      </c>
      <c r="K62" s="28" t="str">
        <f t="shared" si="3"/>
        <v>MUITO BOA</v>
      </c>
    </row>
    <row r="63" spans="1:11">
      <c r="A63" s="16">
        <v>46113</v>
      </c>
      <c r="B63" s="14" t="s">
        <v>775</v>
      </c>
      <c r="C63" s="29">
        <v>4601.2409722222228</v>
      </c>
      <c r="D63" s="29">
        <v>255.93125000000001</v>
      </c>
      <c r="E63" s="29">
        <v>4345.3097222222232</v>
      </c>
      <c r="F63" s="30"/>
      <c r="G63" s="30"/>
      <c r="H63" s="31">
        <f>IF(Tabela3[[#This Row],[HH]]&gt;0, (Tabela3[[#This Row],[Acidentes]]*1000000)/Tabela3[[#This Row],[HH]], 0)</f>
        <v>0</v>
      </c>
      <c r="I63" s="32" t="str">
        <f t="shared" si="2"/>
        <v>MUITO BOA</v>
      </c>
      <c r="J63" s="31">
        <f>IF(Tabela3[[#This Row],[HH]]&gt;0, (Tabela3[[#This Row],[Afastamento]]*1000000)/Tabela3[[#This Row],[HH]], 0)</f>
        <v>0</v>
      </c>
      <c r="K63" s="28" t="str">
        <f t="shared" si="3"/>
        <v>MUITO BOA</v>
      </c>
    </row>
    <row r="64" spans="1:11">
      <c r="A64" s="16">
        <v>46113</v>
      </c>
      <c r="B64" s="14" t="s">
        <v>786</v>
      </c>
      <c r="C64" s="29">
        <v>32613.968749999887</v>
      </c>
      <c r="D64" s="29">
        <v>1119.8486111111108</v>
      </c>
      <c r="E64" s="29">
        <v>31494.120138888775</v>
      </c>
      <c r="F64" s="30"/>
      <c r="G64" s="30"/>
      <c r="H64" s="31">
        <f>IF(Tabela3[[#This Row],[HH]]&gt;0, (Tabela3[[#This Row],[Acidentes]]*1000000)/Tabela3[[#This Row],[HH]], 0)</f>
        <v>0</v>
      </c>
      <c r="I64" s="32" t="str">
        <f t="shared" si="2"/>
        <v>MUITO BOA</v>
      </c>
      <c r="J64" s="31">
        <f>IF(Tabela3[[#This Row],[HH]]&gt;0, (Tabela3[[#This Row],[Afastamento]]*1000000)/Tabela3[[#This Row],[HH]], 0)</f>
        <v>0</v>
      </c>
      <c r="K64" s="28" t="str">
        <f t="shared" si="3"/>
        <v>MUITO BOA</v>
      </c>
    </row>
    <row r="65" spans="1:11">
      <c r="A65" s="16">
        <v>46113</v>
      </c>
      <c r="B65" s="14" t="s">
        <v>777</v>
      </c>
      <c r="C65" s="29">
        <v>3375.0409722222225</v>
      </c>
      <c r="D65" s="29">
        <v>141.50000000000003</v>
      </c>
      <c r="E65" s="29">
        <v>3233.5409722222225</v>
      </c>
      <c r="F65" s="30"/>
      <c r="G65" s="30"/>
      <c r="H65" s="31">
        <f>IF(Tabela3[[#This Row],[HH]]&gt;0, (Tabela3[[#This Row],[Acidentes]]*1000000)/Tabela3[[#This Row],[HH]], 0)</f>
        <v>0</v>
      </c>
      <c r="I65" s="32" t="str">
        <f t="shared" si="2"/>
        <v>MUITO BOA</v>
      </c>
      <c r="J65" s="31">
        <f>IF(Tabela3[[#This Row],[HH]]&gt;0, (Tabela3[[#This Row],[Afastamento]]*1000000)/Tabela3[[#This Row],[HH]], 0)</f>
        <v>0</v>
      </c>
      <c r="K65" s="28" t="str">
        <f t="shared" si="3"/>
        <v>MUITO BOA</v>
      </c>
    </row>
    <row r="66" spans="1:11">
      <c r="A66" s="16">
        <v>46113</v>
      </c>
      <c r="B66" s="14" t="s">
        <v>778</v>
      </c>
      <c r="C66" s="29">
        <v>194.40347222222223</v>
      </c>
      <c r="D66" s="29">
        <v>0</v>
      </c>
      <c r="E66" s="29">
        <v>194.40347222222223</v>
      </c>
      <c r="F66" s="30"/>
      <c r="G66" s="30"/>
      <c r="H66" s="31">
        <f>IF(Tabela3[[#This Row],[HH]]&gt;0, (Tabela3[[#This Row],[Acidentes]]*1000000)/Tabela3[[#This Row],[HH]], 0)</f>
        <v>0</v>
      </c>
      <c r="I66" s="32" t="str">
        <f t="shared" ref="I66:I75" si="4">IF(H66&lt;=20, "MUITO BOA", IF(H66&lt;=40, "BOA", IF(H66&lt;=60, "RUIM", "PÉSSIMA")))</f>
        <v>MUITO BOA</v>
      </c>
      <c r="J66" s="31">
        <f>IF(Tabela3[[#This Row],[HH]]&gt;0, (Tabela3[[#This Row],[Afastamento]]*1000000)/Tabela3[[#This Row],[HH]], 0)</f>
        <v>0</v>
      </c>
      <c r="K66" s="28" t="str">
        <f t="shared" ref="K66:K75" si="5">IF(J66&lt;=500, "MUITO BOA", IF(J66&lt;=1000, "BOA", IF(J66&lt;=2000, "RUIM", "PÉSSIMA")))</f>
        <v>MUITO BOA</v>
      </c>
    </row>
    <row r="67" spans="1:11">
      <c r="A67" s="16">
        <v>46113</v>
      </c>
      <c r="B67" s="14" t="s">
        <v>787</v>
      </c>
      <c r="C67" s="29">
        <v>70524.406944444345</v>
      </c>
      <c r="D67" s="29">
        <v>2647.2958333333327</v>
      </c>
      <c r="E67" s="29">
        <v>67877.111111111008</v>
      </c>
      <c r="F67" s="30"/>
      <c r="G67" s="30"/>
      <c r="H67" s="31">
        <f>IF(Tabela3[[#This Row],[HH]]&gt;0, (Tabela3[[#This Row],[Acidentes]]*1000000)/Tabela3[[#This Row],[HH]], 0)</f>
        <v>0</v>
      </c>
      <c r="I67" s="32" t="str">
        <f t="shared" si="4"/>
        <v>MUITO BOA</v>
      </c>
      <c r="J67" s="31">
        <f>IF(Tabela3[[#This Row],[HH]]&gt;0, (Tabela3[[#This Row],[Afastamento]]*1000000)/Tabela3[[#This Row],[HH]], 0)</f>
        <v>0</v>
      </c>
      <c r="K67" s="28" t="str">
        <f t="shared" si="5"/>
        <v>MUITO BOA</v>
      </c>
    </row>
    <row r="68" spans="1:11">
      <c r="A68" s="16">
        <v>46113</v>
      </c>
      <c r="B68" s="14" t="s">
        <v>779</v>
      </c>
      <c r="C68" s="29">
        <v>5389.4687500000018</v>
      </c>
      <c r="D68" s="29">
        <v>178.69999999999996</v>
      </c>
      <c r="E68" s="29">
        <v>5210.768750000002</v>
      </c>
      <c r="F68" s="30"/>
      <c r="G68" s="30"/>
      <c r="H68" s="31">
        <f>IF(Tabela3[[#This Row],[HH]]&gt;0, (Tabela3[[#This Row],[Acidentes]]*1000000)/Tabela3[[#This Row],[HH]], 0)</f>
        <v>0</v>
      </c>
      <c r="I68" s="32" t="str">
        <f t="shared" si="4"/>
        <v>MUITO BOA</v>
      </c>
      <c r="J68" s="31">
        <f>IF(Tabela3[[#This Row],[HH]]&gt;0, (Tabela3[[#This Row],[Afastamento]]*1000000)/Tabela3[[#This Row],[HH]], 0)</f>
        <v>0</v>
      </c>
      <c r="K68" s="28" t="str">
        <f t="shared" si="5"/>
        <v>MUITO BOA</v>
      </c>
    </row>
    <row r="69" spans="1:11">
      <c r="A69" s="16">
        <v>46113</v>
      </c>
      <c r="B69" s="14" t="s">
        <v>780</v>
      </c>
      <c r="C69" s="29">
        <v>388.80694444444447</v>
      </c>
      <c r="D69" s="29">
        <v>0</v>
      </c>
      <c r="E69" s="29">
        <v>388.80694444444447</v>
      </c>
      <c r="F69" s="30"/>
      <c r="G69" s="30"/>
      <c r="H69" s="31">
        <f>IF(Tabela3[[#This Row],[HH]]&gt;0, (Tabela3[[#This Row],[Acidentes]]*1000000)/Tabela3[[#This Row],[HH]], 0)</f>
        <v>0</v>
      </c>
      <c r="I69" s="32" t="str">
        <f t="shared" si="4"/>
        <v>MUITO BOA</v>
      </c>
      <c r="J69" s="31">
        <f>IF(Tabela3[[#This Row],[HH]]&gt;0, (Tabela3[[#This Row],[Afastamento]]*1000000)/Tabela3[[#This Row],[HH]], 0)</f>
        <v>0</v>
      </c>
      <c r="K69" s="28" t="str">
        <f t="shared" si="5"/>
        <v>MUITO BOA</v>
      </c>
    </row>
    <row r="70" spans="1:11">
      <c r="A70" s="16">
        <v>46113</v>
      </c>
      <c r="B70" s="14" t="s">
        <v>781</v>
      </c>
      <c r="C70" s="29">
        <v>3379.6104166666669</v>
      </c>
      <c r="D70" s="29">
        <v>58.349999999999994</v>
      </c>
      <c r="E70" s="29">
        <v>3321.260416666667</v>
      </c>
      <c r="F70" s="30"/>
      <c r="G70" s="30"/>
      <c r="H70" s="31">
        <f>IF(Tabela3[[#This Row],[HH]]&gt;0, (Tabela3[[#This Row],[Acidentes]]*1000000)/Tabela3[[#This Row],[HH]], 0)</f>
        <v>0</v>
      </c>
      <c r="I70" s="32" t="str">
        <f t="shared" si="4"/>
        <v>MUITO BOA</v>
      </c>
      <c r="J70" s="31">
        <f>IF(Tabela3[[#This Row],[HH]]&gt;0, (Tabela3[[#This Row],[Afastamento]]*1000000)/Tabela3[[#This Row],[HH]], 0)</f>
        <v>0</v>
      </c>
      <c r="K70" s="28" t="str">
        <f t="shared" si="5"/>
        <v>MUITO BOA</v>
      </c>
    </row>
    <row r="71" spans="1:11">
      <c r="A71" s="16">
        <v>46113</v>
      </c>
      <c r="B71" s="14" t="s">
        <v>782</v>
      </c>
      <c r="C71" s="29">
        <v>4110.2895833333341</v>
      </c>
      <c r="D71" s="29">
        <v>67.033333333333331</v>
      </c>
      <c r="E71" s="29">
        <v>4043.2562500000008</v>
      </c>
      <c r="F71" s="30"/>
      <c r="G71" s="30"/>
      <c r="H71" s="31">
        <f>IF(Tabela3[[#This Row],[HH]]&gt;0, (Tabela3[[#This Row],[Acidentes]]*1000000)/Tabela3[[#This Row],[HH]], 0)</f>
        <v>0</v>
      </c>
      <c r="I71" s="32" t="str">
        <f t="shared" si="4"/>
        <v>MUITO BOA</v>
      </c>
      <c r="J71" s="31">
        <f>IF(Tabela3[[#This Row],[HH]]&gt;0, (Tabela3[[#This Row],[Afastamento]]*1000000)/Tabela3[[#This Row],[HH]], 0)</f>
        <v>0</v>
      </c>
      <c r="K71" s="28" t="str">
        <f t="shared" si="5"/>
        <v>MUITO BOA</v>
      </c>
    </row>
    <row r="72" spans="1:11">
      <c r="A72" s="16">
        <v>46113</v>
      </c>
      <c r="B72" s="14" t="s">
        <v>788</v>
      </c>
      <c r="C72" s="29">
        <v>15564.570833333339</v>
      </c>
      <c r="D72" s="29">
        <v>385.33333333333326</v>
      </c>
      <c r="E72" s="29">
        <v>15179.237500000005</v>
      </c>
      <c r="F72" s="30"/>
      <c r="G72" s="30"/>
      <c r="H72" s="31">
        <f>IF(Tabela3[[#This Row],[HH]]&gt;0, (Tabela3[[#This Row],[Acidentes]]*1000000)/Tabela3[[#This Row],[HH]], 0)</f>
        <v>0</v>
      </c>
      <c r="I72" s="32" t="str">
        <f t="shared" si="4"/>
        <v>MUITO BOA</v>
      </c>
      <c r="J72" s="31">
        <f>IF(Tabela3[[#This Row],[HH]]&gt;0, (Tabela3[[#This Row],[Afastamento]]*1000000)/Tabela3[[#This Row],[HH]], 0)</f>
        <v>0</v>
      </c>
      <c r="K72" s="28" t="str">
        <f t="shared" si="5"/>
        <v>MUITO BOA</v>
      </c>
    </row>
    <row r="73" spans="1:11">
      <c r="A73" s="16">
        <v>46113</v>
      </c>
      <c r="B73" s="14" t="s">
        <v>180</v>
      </c>
      <c r="C73" s="29">
        <v>2394.6708333333336</v>
      </c>
      <c r="D73" s="29">
        <v>16.18333333333333</v>
      </c>
      <c r="E73" s="29">
        <v>2378.4875000000002</v>
      </c>
      <c r="F73" s="30"/>
      <c r="G73" s="30"/>
      <c r="H73" s="31">
        <f>IF(Tabela3[[#This Row],[HH]]&gt;0, (Tabela3[[#This Row],[Acidentes]]*1000000)/Tabela3[[#This Row],[HH]], 0)</f>
        <v>0</v>
      </c>
      <c r="I73" s="32" t="str">
        <f t="shared" si="4"/>
        <v>MUITO BOA</v>
      </c>
      <c r="J73" s="31">
        <f>IF(Tabela3[[#This Row],[HH]]&gt;0, (Tabela3[[#This Row],[Afastamento]]*1000000)/Tabela3[[#This Row],[HH]], 0)</f>
        <v>0</v>
      </c>
      <c r="K73" s="28" t="str">
        <f t="shared" si="5"/>
        <v>MUITO BOA</v>
      </c>
    </row>
    <row r="74" spans="1:11">
      <c r="A74" s="16">
        <v>46113</v>
      </c>
      <c r="B74" s="14" t="s">
        <v>39</v>
      </c>
      <c r="C74" s="29">
        <v>12791.765277777786</v>
      </c>
      <c r="D74" s="29">
        <v>406.7118055555556</v>
      </c>
      <c r="E74" s="29">
        <v>12385.053472222231</v>
      </c>
      <c r="F74" s="30"/>
      <c r="G74" s="30"/>
      <c r="H74" s="31">
        <f>IF(Tabela3[[#This Row],[HH]]&gt;0, (Tabela3[[#This Row],[Acidentes]]*1000000)/Tabela3[[#This Row],[HH]], 0)</f>
        <v>0</v>
      </c>
      <c r="I74" s="32" t="str">
        <f t="shared" si="4"/>
        <v>MUITO BOA</v>
      </c>
      <c r="J74" s="31">
        <f>IF(Tabela3[[#This Row],[HH]]&gt;0, (Tabela3[[#This Row],[Afastamento]]*1000000)/Tabela3[[#This Row],[HH]], 0)</f>
        <v>0</v>
      </c>
      <c r="K74" s="28" t="str">
        <f t="shared" si="5"/>
        <v>MUITO BOA</v>
      </c>
    </row>
    <row r="75" spans="1:11">
      <c r="A75" s="16">
        <v>46113</v>
      </c>
      <c r="B75" s="14" t="s">
        <v>33</v>
      </c>
      <c r="C75" s="29">
        <v>194.40347222222223</v>
      </c>
      <c r="D75" s="29">
        <v>0</v>
      </c>
      <c r="E75" s="29">
        <v>194.40347222222223</v>
      </c>
      <c r="F75" s="30"/>
      <c r="G75" s="30"/>
      <c r="H75" s="31">
        <f>IF(Tabela3[[#This Row],[HH]]&gt;0, (Tabela3[[#This Row],[Acidentes]]*1000000)/Tabela3[[#This Row],[HH]], 0)</f>
        <v>0</v>
      </c>
      <c r="I75" s="32" t="str">
        <f t="shared" si="4"/>
        <v>MUITO BOA</v>
      </c>
      <c r="J75" s="31">
        <f>IF(Tabela3[[#This Row],[HH]]&gt;0, (Tabela3[[#This Row],[Afastamento]]*1000000)/Tabela3[[#This Row],[HH]], 0)</f>
        <v>0</v>
      </c>
      <c r="K75" s="28" t="str">
        <f t="shared" si="5"/>
        <v>MUITO BOA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f748021-1f09-479a-b7b6-1bf704418f6e">
      <UserInfo>
        <DisplayName/>
        <AccountId xsi:nil="true"/>
        <AccountType/>
      </UserInfo>
    </SharedWithUsers>
    <lcf76f155ced4ddcb4097134ff3c332f xmlns="1651c625-d431-42fe-9558-c3260670d29a">
      <Terms xmlns="http://schemas.microsoft.com/office/infopath/2007/PartnerControls"/>
    </lcf76f155ced4ddcb4097134ff3c332f>
    <TaxCatchAll xmlns="4f748021-1f09-479a-b7b6-1bf704418f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83226720703E40AD8C8984B39D9349" ma:contentTypeVersion="17" ma:contentTypeDescription="Crie um novo documento." ma:contentTypeScope="" ma:versionID="803a4cabab52f4c5255d9445703dfa34">
  <xsd:schema xmlns:xsd="http://www.w3.org/2001/XMLSchema" xmlns:xs="http://www.w3.org/2001/XMLSchema" xmlns:p="http://schemas.microsoft.com/office/2006/metadata/properties" xmlns:ns2="4f748021-1f09-479a-b7b6-1bf704418f6e" xmlns:ns3="1651c625-d431-42fe-9558-c3260670d29a" targetNamespace="http://schemas.microsoft.com/office/2006/metadata/properties" ma:root="true" ma:fieldsID="9cbf6f4701449fd134ee5f2516333c14" ns2:_="" ns3:_="">
    <xsd:import namespace="4f748021-1f09-479a-b7b6-1bf704418f6e"/>
    <xsd:import namespace="1651c625-d431-42fe-9558-c3260670d2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48021-1f09-479a-b7b6-1bf704418f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ccec118-5fa1-4164-bf19-7167aa0edb06}" ma:internalName="TaxCatchAll" ma:showField="CatchAllData" ma:web="4f748021-1f09-479a-b7b6-1bf704418f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1c625-d431-42fe-9558-c3260670d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3695bc70-c0f4-4469-a830-18496ba494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7EECC8-FCB6-4FF4-A2DA-3D401126EB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3E4EF2-B3FD-4106-9F01-82D8E5F9C42F}">
  <ds:schemaRefs>
    <ds:schemaRef ds:uri="http://www.w3.org/XML/1998/namespace"/>
    <ds:schemaRef ds:uri="4f748021-1f09-479a-b7b6-1bf704418f6e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651c625-d431-42fe-9558-c3260670d29a"/>
  </ds:schemaRefs>
</ds:datastoreItem>
</file>

<file path=customXml/itemProps3.xml><?xml version="1.0" encoding="utf-8"?>
<ds:datastoreItem xmlns:ds="http://schemas.openxmlformats.org/officeDocument/2006/customXml" ds:itemID="{E2C06BD9-E601-49A1-8914-BED622765D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48021-1f09-479a-b7b6-1bf704418f6e"/>
    <ds:schemaRef ds:uri="1651c625-d431-42fe-9558-c3260670d2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BD</vt:lpstr>
      <vt:lpstr>Planos de Ação</vt:lpstr>
      <vt:lpstr>FG</vt:lpstr>
      <vt:lpstr>'Planos de Ação'!Area_de_impressao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Denisson Monteiro</dc:creator>
  <cp:keywords/>
  <dc:description/>
  <cp:lastModifiedBy>Denisson Lopes Monteiro</cp:lastModifiedBy>
  <cp:revision/>
  <cp:lastPrinted>2026-03-12T16:18:26Z</cp:lastPrinted>
  <dcterms:created xsi:type="dcterms:W3CDTF">2026-02-10T17:32:35Z</dcterms:created>
  <dcterms:modified xsi:type="dcterms:W3CDTF">2026-09-11T18:45:14Z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0x0101004283226720703E40AD8C8984B39D9349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